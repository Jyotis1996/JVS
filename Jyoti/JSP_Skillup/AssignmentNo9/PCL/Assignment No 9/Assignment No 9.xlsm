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3"/>
  </bookViews>
  <sheets>
    <sheet name="Summary" sheetId="32" r:id="rId1"/>
    <sheet name="Template" sheetId="21" state="hidden" r:id="rId2"/>
    <sheet name="Page_Load" sheetId="71" r:id="rId3"/>
    <sheet name="Download_Click" sheetId="72" r:id="rId4"/>
    <sheet name="Evidence" sheetId="73" r:id="rId5"/>
  </sheets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3">Download_Click!$H$35:$AF$35</definedName>
    <definedName name="BugCount" localSheetId="2">Page_Load!$H$37:$AF$37</definedName>
    <definedName name="BugCount">Template!$H$29:$AF$29</definedName>
    <definedName name="BugSheetName" localSheetId="3">Download_Click!$F$34</definedName>
    <definedName name="BugSheetName" localSheetId="2">Page_Load!$F$36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Summary!$12:$12</definedName>
    <definedName name="_xlnm.Print_Area" localSheetId="3">Download_Click!$A$1:$AF$36</definedName>
    <definedName name="_xlnm.Print_Area" localSheetId="2">Page_Load!$A$1:$AF$38</definedName>
    <definedName name="_xlnm.Print_Area" localSheetId="0">Summary!$A$5:$AM$32</definedName>
    <definedName name="_xlnm.Print_Area" localSheetId="1">Template!$A$1:$AF$30</definedName>
    <definedName name="_xlnm.Print_Titles" localSheetId="3">Download_Click!$1:$3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Summary!$AI$13</definedName>
    <definedName name="SummaryTotal">Summary!$B$13:$AL$14</definedName>
    <definedName name="SummaryTRNA">Summary!$X$13</definedName>
    <definedName name="SummaryTRNG">Summary!$R$13</definedName>
    <definedName name="SummaryTROK">Summary!$O$13</definedName>
    <definedName name="SummaryTRPT">Summary!$U$13</definedName>
    <definedName name="SummaryTTC">Summary!$K$13</definedName>
    <definedName name="SummaryTTD">Summary!$AA$13</definedName>
    <definedName name="SummaryTTND">Summary!$AE$13</definedName>
    <definedName name="TestResult" localSheetId="3">Download_Click!$G$33</definedName>
    <definedName name="TestResult" localSheetId="2">Page_Load!$G$35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35" i="72"/>
  <c r="AE35"/>
  <c r="AD35"/>
  <c r="AC35"/>
  <c r="AB35"/>
  <c r="AA35"/>
  <c r="Z35"/>
  <c r="Y35"/>
  <c r="X35"/>
  <c r="W35"/>
  <c r="V35"/>
  <c r="U35"/>
  <c r="T35"/>
  <c r="S35"/>
  <c r="X11" i="32"/>
  <c r="AI11"/>
  <c r="U11"/>
  <c r="R11"/>
  <c r="O11"/>
  <c r="AA11" l="1"/>
  <c r="AF3" i="72"/>
  <c r="AE3"/>
  <c r="AD3"/>
  <c r="AC3"/>
  <c r="AB3"/>
  <c r="AA3"/>
  <c r="Z3"/>
  <c r="Y3"/>
  <c r="X3"/>
  <c r="W3"/>
  <c r="V3"/>
  <c r="U3"/>
  <c r="T3"/>
  <c r="S3"/>
  <c r="R3"/>
  <c r="Q3"/>
  <c r="P3"/>
  <c r="O3"/>
  <c r="N3"/>
  <c r="K3"/>
  <c r="L3" s="1"/>
  <c r="M3" s="1"/>
  <c r="I3"/>
  <c r="H3"/>
  <c r="H3" i="71"/>
  <c r="I3" s="1"/>
  <c r="J3" s="1"/>
  <c r="K3" s="1"/>
  <c r="L3" s="1"/>
  <c r="M3" s="1"/>
  <c r="N3" s="1"/>
  <c r="O3" s="1"/>
  <c r="P3"/>
  <c r="Q3"/>
  <c r="R3"/>
  <c r="S3"/>
  <c r="T3"/>
  <c r="U3"/>
  <c r="V3"/>
  <c r="W3"/>
  <c r="X3"/>
  <c r="Y3"/>
  <c r="Z3"/>
  <c r="AA3"/>
  <c r="AB3"/>
  <c r="AC3"/>
  <c r="AD3"/>
  <c r="AE3"/>
  <c r="AF3"/>
  <c r="S37"/>
  <c r="T37"/>
  <c r="U37"/>
  <c r="V37"/>
  <c r="W37"/>
  <c r="X37"/>
  <c r="Y37"/>
  <c r="Z37"/>
  <c r="AA37"/>
  <c r="AB37"/>
  <c r="AC37"/>
  <c r="AD37"/>
  <c r="AE37"/>
  <c r="AF37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F36" i="71"/>
  <c r="AI10" i="32"/>
  <c r="K10"/>
  <c r="U10"/>
  <c r="O10"/>
  <c r="K11"/>
  <c r="R10"/>
  <c r="X10"/>
  <c r="AE11" l="1"/>
  <c r="AA3"/>
  <c r="AE3" s="1"/>
  <c r="X13"/>
  <c r="O13"/>
  <c r="AA10"/>
  <c r="AA13" s="1"/>
  <c r="K13"/>
  <c r="R13"/>
  <c r="U13"/>
  <c r="AI13"/>
  <c r="R14" l="1"/>
  <c r="U14"/>
  <c r="O14"/>
  <c r="AA14"/>
  <c r="AE10"/>
  <c r="AE13" s="1"/>
  <c r="AE14" s="1"/>
  <c r="X14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<sst xmlns="http://schemas.openxmlformats.org/spreadsheetml/2006/main" count="241" uniqueCount="132">
  <si>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</si>
  <si>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</si>
  <si>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</si>
  <si>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</si>
  <si>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</si>
  <si>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</si>
  <si>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</si>
  <si>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</si>
  <si>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</si>
  <si>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</si>
  <si>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</si>
  <si>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</si>
  <si>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</si>
  <si>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</si>
  <si>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</si>
  <si>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</si>
  <si>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</si>
  <si>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</si>
  <si>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</si>
  <si>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</si>
  <si>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</si>
  <si>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</si>
  <si>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</si>
  <si>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</si>
  <si>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</si>
  <si>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</si>
  <si>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</si>
  <si>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</si>
  <si>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</si>
  <si>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</si>
  <si>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</si>
  <si>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</si>
  <si>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</si>
  <si>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</si>
  <si>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</si>
  <si>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</si>
  <si>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</si>
  <si>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</si>
  <si>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</si>
  <si>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</si>
  <si>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</si>
  <si>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</si>
  <si>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</si>
  <si>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</si>
  <si>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</si>
  <si>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</si>
  <si>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</si>
  <si>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</si>
  <si>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</si>
  <si>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</si>
  <si>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</si>
  <si>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</si>
  <si>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</si>
  <si>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</si>
  <si>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</si>
  <si>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</si>
  <si>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</si>
  <si>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</si>
  <si>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</si>
  <si>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</si>
  <si>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</si>
  <si>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</si>
  <si>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</si>
  <si>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</si>
  <si>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JVS</t>
    <phoneticPr fontId="3"/>
  </si>
  <si>
    <t>JSPServletSkillup</t>
    <phoneticPr fontId="3"/>
  </si>
  <si>
    <t>Jyoti Shirahatti</t>
    <phoneticPr fontId="3"/>
  </si>
  <si>
    <t>Assignment 9</t>
    <phoneticPr fontId="3"/>
  </si>
  <si>
    <t>FileDownload</t>
    <phoneticPr fontId="3"/>
  </si>
  <si>
    <t>FileDownload.jsp</t>
    <phoneticPr fontId="3"/>
  </si>
  <si>
    <t>①ID</t>
    <phoneticPr fontId="3"/>
  </si>
  <si>
    <t>order will be displayed</t>
    <phoneticPr fontId="3"/>
  </si>
  <si>
    <t>②FileName</t>
    <phoneticPr fontId="3"/>
  </si>
  <si>
    <t>Values will be fetched from database</t>
    <phoneticPr fontId="3"/>
  </si>
  <si>
    <t>③FileDescription</t>
    <phoneticPr fontId="3"/>
  </si>
  <si>
    <t>④Button</t>
    <phoneticPr fontId="3"/>
  </si>
  <si>
    <t>Download</t>
    <phoneticPr fontId="3"/>
  </si>
  <si>
    <t>Download</t>
    <phoneticPr fontId="3"/>
  </si>
  <si>
    <t>⑤Header Text</t>
    <phoneticPr fontId="3"/>
  </si>
  <si>
    <t>⑥Page Title</t>
    <phoneticPr fontId="3"/>
  </si>
  <si>
    <t>⑥Exception</t>
    <phoneticPr fontId="7" type="noConversion"/>
  </si>
  <si>
    <t>Verification during program execution</t>
    <phoneticPr fontId="3"/>
  </si>
  <si>
    <t>Element</t>
    <phoneticPr fontId="3"/>
  </si>
  <si>
    <t>Text</t>
    <phoneticPr fontId="3"/>
  </si>
  <si>
    <t>Visible</t>
    <phoneticPr fontId="3"/>
  </si>
  <si>
    <t>True</t>
    <phoneticPr fontId="3"/>
  </si>
  <si>
    <t>Type</t>
    <phoneticPr fontId="7" type="noConversion"/>
  </si>
  <si>
    <t>Radio Button</t>
    <phoneticPr fontId="7" type="noConversion"/>
  </si>
  <si>
    <t>Button</t>
    <phoneticPr fontId="7" type="noConversion"/>
  </si>
  <si>
    <t>Header Text</t>
    <phoneticPr fontId="3"/>
  </si>
  <si>
    <t>List of Files</t>
    <phoneticPr fontId="7" type="noConversion"/>
  </si>
  <si>
    <t>Page Title</t>
    <phoneticPr fontId="3"/>
  </si>
  <si>
    <t>Download File</t>
    <phoneticPr fontId="3"/>
  </si>
  <si>
    <t>Error will be shown on Console</t>
    <phoneticPr fontId="7" type="noConversion"/>
  </si>
  <si>
    <t>○</t>
    <phoneticPr fontId="3"/>
  </si>
  <si>
    <t>N</t>
  </si>
  <si>
    <t>N</t>
    <phoneticPr fontId="3"/>
  </si>
  <si>
    <t>A</t>
  </si>
  <si>
    <t>Jyoti</t>
    <phoneticPr fontId="3"/>
  </si>
  <si>
    <t>OK</t>
  </si>
  <si>
    <t>=GetBugSheetName()</t>
  </si>
  <si>
    <t>Download_Click</t>
  </si>
  <si>
    <r>
      <rPr>
        <sz val="9"/>
        <rFont val="ＭＳ Ｐ明朝"/>
        <family val="1"/>
        <charset val="128"/>
      </rPr>
      <t>④</t>
    </r>
    <r>
      <rPr>
        <sz val="9"/>
        <rFont val="Times New Roman"/>
        <family val="1"/>
      </rPr>
      <t>Download Button Click</t>
    </r>
    <phoneticPr fontId="3"/>
  </si>
  <si>
    <r>
      <rPr>
        <sz val="9"/>
        <rFont val="ＭＳ Ｐ明朝"/>
        <family val="1"/>
        <charset val="128"/>
      </rPr>
      <t>⑤</t>
    </r>
    <r>
      <rPr>
        <sz val="9"/>
        <rFont val="Times New Roman"/>
        <family val="1"/>
      </rPr>
      <t>Exception occurred</t>
    </r>
    <phoneticPr fontId="3"/>
  </si>
  <si>
    <t>Database Connection Exception</t>
    <phoneticPr fontId="3"/>
  </si>
  <si>
    <t>SQL Exception</t>
    <phoneticPr fontId="3"/>
  </si>
  <si>
    <t>Exception</t>
    <phoneticPr fontId="3"/>
  </si>
  <si>
    <t>Download_Click</t>
    <phoneticPr fontId="3"/>
  </si>
  <si>
    <t>Particular Selected File has been Downloaded…!!!</t>
    <phoneticPr fontId="22"/>
  </si>
  <si>
    <t>Errro code</t>
    <phoneticPr fontId="3"/>
  </si>
  <si>
    <t>ERR00001</t>
    <phoneticPr fontId="3"/>
  </si>
  <si>
    <t>ERR00002</t>
    <phoneticPr fontId="3"/>
  </si>
  <si>
    <t>ERR00003</t>
    <phoneticPr fontId="3"/>
  </si>
  <si>
    <t>Errro Message</t>
    <phoneticPr fontId="3"/>
  </si>
  <si>
    <t>Error occurred while connecting to database. Please contact administrator for further assistance</t>
    <phoneticPr fontId="3"/>
  </si>
  <si>
    <t>Error occurred while executing query. Please contact administrator for further assistance</t>
    <phoneticPr fontId="3"/>
  </si>
  <si>
    <t>Error occurred. Please contact administrator for further assistance</t>
    <phoneticPr fontId="22"/>
  </si>
  <si>
    <t>○</t>
    <phoneticPr fontId="22"/>
  </si>
  <si>
    <t>Output:</t>
    <phoneticPr fontId="3"/>
  </si>
  <si>
    <t>JSPServletSkillup</t>
    <phoneticPr fontId="3"/>
  </si>
  <si>
    <t>Error</t>
    <phoneticPr fontId="3"/>
  </si>
  <si>
    <t>File_Download</t>
    <phoneticPr fontId="3"/>
  </si>
  <si>
    <t>SQLException</t>
    <phoneticPr fontId="3"/>
  </si>
  <si>
    <t>Database Connection exception</t>
    <phoneticPr fontId="3"/>
  </si>
  <si>
    <t>A</t>
    <phoneticPr fontId="3"/>
  </si>
  <si>
    <t>Jyoti</t>
    <phoneticPr fontId="3"/>
  </si>
  <si>
    <t>OK</t>
    <phoneticPr fontId="3"/>
  </si>
  <si>
    <t>ERR00004</t>
    <phoneticPr fontId="3"/>
  </si>
  <si>
    <t>Error Ocuured.Please Select the file to download</t>
    <phoneticPr fontId="22"/>
  </si>
  <si>
    <t>N</t>
    <phoneticPr fontId="3"/>
  </si>
  <si>
    <t>Download_Click_</t>
    <phoneticPr fontId="3"/>
  </si>
  <si>
    <t>Direct click on file download button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</si>
</sst>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3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251">
    <xf numFmtId="0" fontId="0" fillId="0" borderId="0" xfId="0"/>
    <xf numFmtId="49" fontId="10" fillId="0" borderId="0" xfId="5" applyNumberFormat="1" applyFont="1" applyFill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176" fontId="13" fillId="0" borderId="1" xfId="1" applyNumberFormat="1" applyFont="1" applyFill="1" applyBorder="1" applyAlignment="1">
      <alignment horizontal="center" vertical="center"/>
    </xf>
    <xf numFmtId="176" fontId="13" fillId="0" borderId="1" xfId="1" applyNumberFormat="1" applyFont="1" applyFill="1" applyBorder="1" applyAlignment="1">
      <alignment horizontal="left" vertical="center"/>
    </xf>
    <xf numFmtId="176" fontId="13" fillId="0" borderId="2" xfId="1" applyNumberFormat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49" fontId="10" fillId="0" borderId="0" xfId="5" applyNumberFormat="1" applyFont="1" applyFill="1" applyBorder="1">
      <alignment vertical="center"/>
    </xf>
    <xf numFmtId="49" fontId="10" fillId="0" borderId="3" xfId="5" applyNumberFormat="1" applyFont="1" applyFill="1" applyBorder="1" applyAlignment="1"/>
    <xf numFmtId="176" fontId="10" fillId="0" borderId="4" xfId="5" applyNumberFormat="1" applyFont="1" applyFill="1" applyBorder="1" applyAlignment="1">
      <alignment horizontal="center" vertical="center"/>
    </xf>
    <xf numFmtId="176" fontId="10" fillId="0" borderId="5" xfId="5" applyNumberFormat="1" applyFont="1" applyFill="1" applyBorder="1" applyAlignment="1">
      <alignment horizontal="center" vertical="center"/>
    </xf>
    <xf numFmtId="176" fontId="10" fillId="0" borderId="6" xfId="5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5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 wrapText="1"/>
    </xf>
    <xf numFmtId="49" fontId="10" fillId="0" borderId="7" xfId="5" applyNumberFormat="1" applyFont="1" applyFill="1" applyBorder="1" applyAlignment="1">
      <alignment horizontal="center" vertical="center" wrapText="1"/>
    </xf>
    <xf numFmtId="49" fontId="10" fillId="0" borderId="8" xfId="5" applyNumberFormat="1" applyFont="1" applyFill="1" applyBorder="1" applyAlignment="1">
      <alignment horizontal="center" vertical="center" wrapText="1"/>
    </xf>
    <xf numFmtId="49" fontId="10" fillId="0" borderId="9" xfId="5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center" vertical="center" wrapText="1"/>
    </xf>
    <xf numFmtId="49" fontId="10" fillId="0" borderId="10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12" xfId="5" applyNumberFormat="1" applyFont="1" applyFill="1" applyBorder="1" applyAlignment="1">
      <alignment horizontal="center" vertical="center" wrapText="1"/>
    </xf>
    <xf numFmtId="177" fontId="10" fillId="0" borderId="10" xfId="5" applyNumberFormat="1" applyFont="1" applyFill="1" applyBorder="1" applyAlignment="1">
      <alignment horizontal="center" vertical="center" wrapText="1"/>
    </xf>
    <xf numFmtId="177" fontId="10" fillId="0" borderId="11" xfId="5" applyNumberFormat="1" applyFont="1" applyFill="1" applyBorder="1" applyAlignment="1">
      <alignment horizontal="center" vertical="center" wrapText="1"/>
    </xf>
    <xf numFmtId="177" fontId="10" fillId="0" borderId="12" xfId="5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Alignment="1">
      <alignment horizontal="center" vertical="center" wrapText="1"/>
    </xf>
    <xf numFmtId="49" fontId="10" fillId="0" borderId="23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vertical="center" wrapText="1"/>
    </xf>
    <xf numFmtId="49" fontId="10" fillId="0" borderId="0" xfId="5" applyNumberFormat="1" applyFont="1" applyFill="1" applyBorder="1" applyAlignment="1">
      <alignment horizontal="center" vertical="center"/>
    </xf>
    <xf numFmtId="176" fontId="13" fillId="0" borderId="2" xfId="1" applyNumberFormat="1" applyFont="1" applyFill="1" applyBorder="1" applyAlignment="1">
      <alignment horizontal="left" vertical="center"/>
    </xf>
    <xf numFmtId="49" fontId="10" fillId="0" borderId="15" xfId="5" applyNumberFormat="1" applyFont="1" applyFill="1" applyBorder="1" applyAlignment="1">
      <alignment horizontal="center" vertical="center" wrapText="1"/>
    </xf>
    <xf numFmtId="49" fontId="10" fillId="0" borderId="16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0" fillId="0" borderId="19" xfId="5" applyNumberFormat="1" applyFont="1" applyFill="1" applyBorder="1" applyAlignment="1">
      <alignment horizontal="center" vertical="center" wrapText="1"/>
    </xf>
    <xf numFmtId="176" fontId="11" fillId="0" borderId="0" xfId="1" applyNumberFormat="1" applyFont="1" applyFill="1" applyBorder="1" applyAlignment="1">
      <alignment horizontal="center" vertical="center"/>
    </xf>
    <xf numFmtId="176" fontId="11" fillId="0" borderId="0" xfId="1" applyNumberFormat="1" applyFont="1" applyFill="1" applyBorder="1" applyAlignment="1">
      <alignment horizontal="left" vertical="center"/>
    </xf>
    <xf numFmtId="0" fontId="11" fillId="0" borderId="0" xfId="1" applyFont="1" applyFill="1" applyAlignment="1">
      <alignment horizontal="center" vertical="center"/>
    </xf>
    <xf numFmtId="49" fontId="10" fillId="0" borderId="14" xfId="5" applyNumberFormat="1" applyFont="1" applyFill="1" applyBorder="1" applyAlignment="1">
      <alignment horizontal="center" vertical="center" wrapText="1"/>
    </xf>
    <xf numFmtId="0" fontId="10" fillId="0" borderId="17" xfId="5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5" applyNumberFormat="1" applyFont="1" applyFill="1" applyBorder="1" applyAlignment="1">
      <alignment vertical="center"/>
    </xf>
    <xf numFmtId="49" fontId="10" fillId="2" borderId="17" xfId="5" applyNumberFormat="1" applyFont="1" applyFill="1" applyBorder="1" applyAlignment="1">
      <alignment vertical="center"/>
    </xf>
    <xf numFmtId="49" fontId="15" fillId="0" borderId="24" xfId="5" applyNumberFormat="1" applyFont="1" applyFill="1" applyBorder="1" applyAlignment="1">
      <alignment horizontal="right" vertical="top" wrapText="1"/>
    </xf>
    <xf numFmtId="49" fontId="20" fillId="0" borderId="4" xfId="5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5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49" fontId="10" fillId="0" borderId="22" xfId="4" applyNumberFormat="1" applyFont="1" applyFill="1" applyBorder="1" applyAlignment="1">
      <alignment horizontal="left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14" fillId="0" borderId="22" xfId="6" applyNumberFormat="1" applyFont="1" applyFill="1" applyBorder="1" applyAlignment="1">
      <alignment horizontal="left" vertical="top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0" fillId="0" borderId="48" xfId="0" applyNumberFormat="1" applyFont="1" applyFill="1" applyBorder="1" applyAlignment="1">
      <alignment horizontal="center" vertical="center" wrapText="1"/>
    </xf>
    <xf numFmtId="49" fontId="10" fillId="0" borderId="15" xfId="4" applyNumberFormat="1" applyFont="1" applyFill="1" applyBorder="1" applyAlignment="1">
      <alignment wrapText="1"/>
    </xf>
    <xf numFmtId="49" fontId="10" fillId="0" borderId="13" xfId="5" applyNumberFormat="1" applyFont="1" applyFill="1" applyBorder="1" applyAlignment="1">
      <alignment horizontal="center" vertical="center" wrapText="1"/>
    </xf>
    <xf numFmtId="49" fontId="14" fillId="0" borderId="10" xfId="6" applyNumberFormat="1" applyFont="1" applyFill="1" applyBorder="1" applyAlignment="1">
      <alignment horizontal="center" vertical="top" wrapText="1"/>
    </xf>
    <xf numFmtId="49" fontId="14" fillId="0" borderId="11" xfId="6" applyNumberFormat="1" applyFont="1" applyFill="1" applyBorder="1" applyAlignment="1">
      <alignment horizontal="center" vertical="top" wrapText="1"/>
    </xf>
    <xf numFmtId="49" fontId="10" fillId="0" borderId="11" xfId="6" applyNumberFormat="1" applyFont="1" applyFill="1" applyBorder="1" applyAlignment="1">
      <alignment horizontal="center" vertical="center" wrapText="1"/>
    </xf>
    <xf numFmtId="49" fontId="14" fillId="0" borderId="10" xfId="6" applyNumberFormat="1" applyFont="1" applyFill="1" applyBorder="1" applyAlignment="1">
      <alignment horizontal="center" vertical="center" wrapText="1"/>
    </xf>
    <xf numFmtId="49" fontId="10" fillId="0" borderId="10" xfId="6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14" fillId="0" borderId="11" xfId="6" applyNumberFormat="1" applyFont="1" applyFill="1" applyBorder="1" applyAlignment="1">
      <alignment horizontal="center" vertical="center" wrapText="1"/>
    </xf>
    <xf numFmtId="49" fontId="10" fillId="0" borderId="46" xfId="6" applyNumberFormat="1" applyFont="1" applyFill="1" applyBorder="1" applyAlignment="1">
      <alignment horizontal="center" vertical="center" wrapText="1"/>
    </xf>
    <xf numFmtId="49" fontId="10" fillId="0" borderId="47" xfId="6" applyNumberFormat="1" applyFont="1" applyFill="1" applyBorder="1" applyAlignment="1">
      <alignment horizontal="center" vertical="center" wrapText="1"/>
    </xf>
    <xf numFmtId="0" fontId="0" fillId="0" borderId="37" xfId="0" applyBorder="1"/>
    <xf numFmtId="49" fontId="14" fillId="0" borderId="47" xfId="6" applyNumberFormat="1" applyFont="1" applyFill="1" applyBorder="1" applyAlignment="1">
      <alignment horizontal="center" vertical="center" wrapText="1"/>
    </xf>
    <xf numFmtId="49" fontId="10" fillId="0" borderId="14" xfId="6" applyNumberFormat="1" applyFont="1" applyFill="1" applyBorder="1" applyAlignment="1">
      <alignment horizontal="center" vertical="center" wrapText="1"/>
    </xf>
    <xf numFmtId="49" fontId="10" fillId="0" borderId="15" xfId="6" applyNumberFormat="1" applyFont="1" applyFill="1" applyBorder="1" applyAlignment="1">
      <alignment horizontal="center" vertical="center" wrapText="1"/>
    </xf>
    <xf numFmtId="49" fontId="10" fillId="0" borderId="50" xfId="6" applyNumberFormat="1" applyFont="1" applyFill="1" applyBorder="1" applyAlignment="1">
      <alignment horizontal="center" vertical="center" wrapText="1"/>
    </xf>
    <xf numFmtId="49" fontId="10" fillId="0" borderId="37" xfId="6" applyNumberFormat="1" applyFont="1" applyFill="1" applyBorder="1" applyAlignment="1">
      <alignment horizontal="center" vertical="center" wrapText="1"/>
    </xf>
    <xf numFmtId="49" fontId="14" fillId="0" borderId="47" xfId="6" applyNumberFormat="1" applyFont="1" applyFill="1" applyBorder="1" applyAlignment="1">
      <alignment horizontal="center" vertical="top" wrapText="1"/>
    </xf>
    <xf numFmtId="49" fontId="10" fillId="0" borderId="13" xfId="6" applyNumberFormat="1" applyFont="1" applyFill="1" applyBorder="1" applyAlignment="1">
      <alignment horizontal="left" vertical="top" wrapText="1"/>
    </xf>
    <xf numFmtId="49" fontId="10" fillId="0" borderId="15" xfId="6" applyNumberFormat="1" applyFont="1" applyFill="1" applyBorder="1" applyAlignment="1">
      <alignment vertical="top" wrapText="1"/>
    </xf>
    <xf numFmtId="49" fontId="10" fillId="0" borderId="22" xfId="6" applyNumberFormat="1" applyFont="1" applyFill="1" applyBorder="1" applyAlignment="1">
      <alignment vertical="top" wrapText="1"/>
    </xf>
    <xf numFmtId="49" fontId="10" fillId="0" borderId="37" xfId="6" applyNumberFormat="1" applyFont="1" applyFill="1" applyBorder="1" applyAlignment="1">
      <alignment vertical="top" wrapText="1"/>
    </xf>
    <xf numFmtId="49" fontId="10" fillId="0" borderId="52" xfId="6" applyNumberFormat="1" applyFont="1" applyFill="1" applyBorder="1" applyAlignment="1">
      <alignment vertical="top" wrapText="1"/>
    </xf>
    <xf numFmtId="49" fontId="4" fillId="0" borderId="11" xfId="6" applyNumberFormat="1" applyFont="1" applyFill="1" applyBorder="1" applyAlignment="1">
      <alignment horizontal="center" vertical="top" wrapText="1"/>
    </xf>
    <xf numFmtId="49" fontId="4" fillId="0" borderId="11" xfId="6" applyNumberFormat="1" applyFont="1" applyFill="1" applyBorder="1" applyAlignment="1">
      <alignment horizontal="center" vertical="center" wrapText="1"/>
    </xf>
    <xf numFmtId="176" fontId="10" fillId="0" borderId="53" xfId="5" applyNumberFormat="1" applyFont="1" applyFill="1" applyBorder="1" applyAlignment="1">
      <alignment horizontal="center" vertical="center"/>
    </xf>
    <xf numFmtId="176" fontId="10" fillId="0" borderId="54" xfId="5" applyNumberFormat="1" applyFont="1" applyFill="1" applyBorder="1" applyAlignment="1">
      <alignment horizontal="center" vertical="center"/>
    </xf>
    <xf numFmtId="49" fontId="10" fillId="0" borderId="46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vertical="center" wrapText="1"/>
    </xf>
    <xf numFmtId="0" fontId="1" fillId="0" borderId="0" xfId="0" applyFont="1"/>
    <xf numFmtId="49" fontId="10" fillId="0" borderId="11" xfId="5" applyNumberFormat="1" applyFont="1" applyFill="1" applyBorder="1" applyAlignment="1">
      <alignment horizontal="center" vertical="center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10" fillId="0" borderId="13" xfId="6" applyNumberFormat="1" applyFont="1" applyFill="1" applyBorder="1" applyAlignment="1">
      <alignment horizontal="left" vertical="top" wrapText="1"/>
    </xf>
    <xf numFmtId="0" fontId="0" fillId="0" borderId="0" xfId="0" applyBorder="1"/>
    <xf numFmtId="176" fontId="11" fillId="4" borderId="22" xfId="1" applyNumberFormat="1" applyFont="1" applyFill="1" applyBorder="1" applyAlignment="1">
      <alignment horizontal="center" vertical="center"/>
    </xf>
    <xf numFmtId="176" fontId="11" fillId="4" borderId="1" xfId="1" applyNumberFormat="1" applyFont="1" applyFill="1" applyBorder="1" applyAlignment="1">
      <alignment horizontal="center" vertical="center"/>
    </xf>
    <xf numFmtId="176" fontId="11" fillId="4" borderId="25" xfId="1" applyNumberFormat="1" applyFont="1" applyFill="1" applyBorder="1" applyAlignment="1">
      <alignment horizontal="center" vertical="center"/>
    </xf>
    <xf numFmtId="176" fontId="11" fillId="2" borderId="22" xfId="1" applyNumberFormat="1" applyFont="1" applyFill="1" applyBorder="1" applyAlignment="1">
      <alignment horizontal="center" vertical="center"/>
    </xf>
    <xf numFmtId="176" fontId="11" fillId="2" borderId="1" xfId="1" applyNumberFormat="1" applyFont="1" applyFill="1" applyBorder="1" applyAlignment="1">
      <alignment horizontal="center" vertical="center"/>
    </xf>
    <xf numFmtId="176" fontId="11" fillId="2" borderId="25" xfId="1" applyNumberFormat="1" applyFont="1" applyFill="1" applyBorder="1" applyAlignment="1">
      <alignment horizontal="center" vertical="center"/>
    </xf>
    <xf numFmtId="176" fontId="11" fillId="3" borderId="22" xfId="1" applyNumberFormat="1" applyFont="1" applyFill="1" applyBorder="1" applyAlignment="1">
      <alignment horizontal="center" vertical="center"/>
    </xf>
    <xf numFmtId="176" fontId="11" fillId="3" borderId="1" xfId="1" applyNumberFormat="1" applyFont="1" applyFill="1" applyBorder="1" applyAlignment="1">
      <alignment horizontal="center" vertical="center"/>
    </xf>
    <xf numFmtId="176" fontId="11" fillId="3" borderId="25" xfId="1" applyNumberFormat="1" applyFont="1" applyFill="1" applyBorder="1" applyAlignment="1">
      <alignment horizontal="center" vertical="center"/>
    </xf>
    <xf numFmtId="176" fontId="11" fillId="0" borderId="22" xfId="1" applyNumberFormat="1" applyFont="1" applyBorder="1" applyAlignment="1">
      <alignment horizontal="center" vertical="center"/>
    </xf>
    <xf numFmtId="176" fontId="11" fillId="0" borderId="1" xfId="1" applyNumberFormat="1" applyFont="1" applyBorder="1" applyAlignment="1">
      <alignment horizontal="center" vertical="center"/>
    </xf>
    <xf numFmtId="176" fontId="11" fillId="0" borderId="25" xfId="1" applyNumberFormat="1" applyFont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3" borderId="22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11" fillId="3" borderId="25" xfId="1" applyFont="1" applyFill="1" applyBorder="1" applyAlignment="1">
      <alignment horizontal="center" vertical="center"/>
    </xf>
    <xf numFmtId="176" fontId="11" fillId="0" borderId="22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 applyProtection="1">
      <alignment vertical="center" wrapText="1"/>
      <protection locked="0"/>
    </xf>
    <xf numFmtId="176" fontId="11" fillId="0" borderId="25" xfId="1" applyNumberFormat="1" applyFont="1" applyBorder="1" applyAlignment="1" applyProtection="1">
      <alignment vertical="center" wrapText="1"/>
      <protection locked="0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176" fontId="11" fillId="3" borderId="26" xfId="1" applyNumberFormat="1" applyFont="1" applyFill="1" applyBorder="1" applyAlignment="1">
      <alignment horizontal="center" vertical="center"/>
    </xf>
    <xf numFmtId="176" fontId="11" fillId="3" borderId="2" xfId="1" applyNumberFormat="1" applyFont="1" applyFill="1" applyBorder="1" applyAlignment="1">
      <alignment horizontal="center" vertical="center"/>
    </xf>
    <xf numFmtId="176" fontId="11" fillId="3" borderId="27" xfId="1" applyNumberFormat="1" applyFont="1" applyFill="1" applyBorder="1" applyAlignment="1">
      <alignment horizontal="center" vertical="center"/>
    </xf>
    <xf numFmtId="176" fontId="11" fillId="3" borderId="21" xfId="1" applyNumberFormat="1" applyFont="1" applyFill="1" applyBorder="1" applyAlignment="1">
      <alignment horizontal="center" vertical="center"/>
    </xf>
    <xf numFmtId="176" fontId="11" fillId="3" borderId="28" xfId="1" applyNumberFormat="1" applyFont="1" applyFill="1" applyBorder="1" applyAlignment="1">
      <alignment horizontal="center" vertical="center"/>
    </xf>
    <xf numFmtId="176" fontId="11" fillId="3" borderId="29" xfId="1" applyNumberFormat="1" applyFont="1" applyFill="1" applyBorder="1" applyAlignment="1">
      <alignment horizontal="center" vertical="center"/>
    </xf>
    <xf numFmtId="9" fontId="11" fillId="3" borderId="22" xfId="2" applyNumberFormat="1" applyFont="1" applyFill="1" applyBorder="1" applyAlignment="1">
      <alignment horizontal="center" vertical="center"/>
    </xf>
    <xf numFmtId="9" fontId="11" fillId="3" borderId="1" xfId="2" applyNumberFormat="1" applyFont="1" applyFill="1" applyBorder="1" applyAlignment="1">
      <alignment horizontal="center" vertical="center"/>
    </xf>
    <xf numFmtId="9" fontId="11" fillId="3" borderId="25" xfId="2" applyNumberFormat="1" applyFont="1" applyFill="1" applyBorder="1" applyAlignment="1">
      <alignment horizontal="center" vertical="center"/>
    </xf>
    <xf numFmtId="0" fontId="21" fillId="7" borderId="0" xfId="1" applyFont="1" applyFill="1" applyAlignment="1">
      <alignment horizontal="center" vertical="center" wrapText="1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49" fontId="18" fillId="0" borderId="31" xfId="5" applyNumberFormat="1" applyFont="1" applyFill="1" applyBorder="1" applyAlignment="1">
      <alignment horizontal="center" vertical="center" wrapText="1"/>
    </xf>
    <xf numFmtId="49" fontId="18" fillId="0" borderId="32" xfId="5" applyNumberFormat="1" applyFont="1" applyFill="1" applyBorder="1" applyAlignment="1">
      <alignment horizontal="center" vertical="center" wrapText="1"/>
    </xf>
    <xf numFmtId="49" fontId="18" fillId="0" borderId="35" xfId="5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" xfId="4" applyNumberFormat="1" applyFont="1" applyFill="1" applyBorder="1" applyAlignment="1">
      <alignment horizontal="left" wrapText="1"/>
    </xf>
    <xf numFmtId="49" fontId="10" fillId="0" borderId="37" xfId="5" applyNumberFormat="1" applyFont="1" applyFill="1" applyBorder="1" applyAlignment="1">
      <alignment horizontal="center" vertical="center" wrapText="1"/>
    </xf>
    <xf numFmtId="49" fontId="10" fillId="0" borderId="26" xfId="4" applyNumberFormat="1" applyFont="1" applyFill="1" applyBorder="1" applyAlignment="1">
      <alignment horizontal="left" wrapText="1"/>
    </xf>
    <xf numFmtId="49" fontId="10" fillId="0" borderId="2" xfId="4" applyNumberFormat="1" applyFont="1" applyFill="1" applyBorder="1" applyAlignment="1">
      <alignment horizontal="left" wrapText="1"/>
    </xf>
    <xf numFmtId="49" fontId="16" fillId="0" borderId="31" xfId="5" applyNumberFormat="1" applyFont="1" applyFill="1" applyBorder="1" applyAlignment="1">
      <alignment horizontal="center" vertical="center" wrapText="1"/>
    </xf>
    <xf numFmtId="49" fontId="16" fillId="0" borderId="32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vertical="center" wrapText="1"/>
    </xf>
    <xf numFmtId="49" fontId="10" fillId="0" borderId="33" xfId="5" applyNumberFormat="1" applyFont="1" applyFill="1" applyBorder="1" applyAlignment="1">
      <alignment vertical="center" wrapText="1"/>
    </xf>
    <xf numFmtId="49" fontId="10" fillId="0" borderId="34" xfId="5" applyNumberFormat="1" applyFont="1" applyFill="1" applyBorder="1" applyAlignment="1">
      <alignment vertical="center" wrapText="1"/>
    </xf>
    <xf numFmtId="49" fontId="10" fillId="0" borderId="22" xfId="5" applyNumberFormat="1" applyFont="1" applyFill="1" applyBorder="1" applyAlignment="1">
      <alignment vertical="center" wrapText="1"/>
    </xf>
    <xf numFmtId="49" fontId="10" fillId="0" borderId="1" xfId="5" applyNumberFormat="1" applyFont="1" applyFill="1" applyBorder="1" applyAlignment="1">
      <alignment vertical="center" wrapText="1"/>
    </xf>
    <xf numFmtId="49" fontId="10" fillId="0" borderId="25" xfId="5" applyNumberFormat="1" applyFont="1" applyFill="1" applyBorder="1" applyAlignment="1">
      <alignment vertical="center" wrapText="1"/>
    </xf>
    <xf numFmtId="49" fontId="17" fillId="0" borderId="31" xfId="5" applyNumberFormat="1" applyFont="1" applyFill="1" applyBorder="1" applyAlignment="1">
      <alignment horizontal="center" vertical="center" wrapText="1"/>
    </xf>
    <xf numFmtId="49" fontId="17" fillId="0" borderId="32" xfId="5" applyNumberFormat="1" applyFont="1" applyFill="1" applyBorder="1" applyAlignment="1">
      <alignment horizontal="center" vertical="center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0" fillId="0" borderId="20" xfId="5" applyNumberFormat="1" applyFont="1" applyFill="1" applyBorder="1" applyAlignment="1">
      <alignment horizontal="center" vertical="center"/>
    </xf>
    <xf numFmtId="49" fontId="10" fillId="0" borderId="33" xfId="5" applyNumberFormat="1" applyFont="1" applyFill="1" applyBorder="1" applyAlignment="1">
      <alignment horizontal="center" vertical="center"/>
    </xf>
    <xf numFmtId="49" fontId="10" fillId="0" borderId="34" xfId="5" applyNumberFormat="1" applyFont="1" applyFill="1" applyBorder="1" applyAlignment="1">
      <alignment horizontal="center" vertical="center"/>
    </xf>
    <xf numFmtId="49" fontId="10" fillId="2" borderId="8" xfId="5" applyNumberFormat="1" applyFont="1" applyFill="1" applyBorder="1" applyAlignment="1">
      <alignment horizontal="center" vertical="center"/>
    </xf>
    <xf numFmtId="177" fontId="10" fillId="0" borderId="8" xfId="5" applyNumberFormat="1" applyFont="1" applyFill="1" applyBorder="1" applyAlignment="1">
      <alignment horizontal="center" vertical="center"/>
    </xf>
    <xf numFmtId="177" fontId="10" fillId="0" borderId="9" xfId="5" applyNumberFormat="1" applyFont="1" applyFill="1" applyBorder="1" applyAlignment="1">
      <alignment horizontal="center" vertical="center"/>
    </xf>
    <xf numFmtId="49" fontId="10" fillId="0" borderId="38" xfId="5" applyNumberFormat="1" applyFont="1" applyFill="1" applyBorder="1" applyAlignment="1">
      <alignment horizontal="center" vertical="center"/>
    </xf>
    <xf numFmtId="49" fontId="10" fillId="0" borderId="39" xfId="5" applyNumberFormat="1" applyFont="1" applyFill="1" applyBorder="1" applyAlignment="1">
      <alignment horizontal="center" vertical="center"/>
    </xf>
    <xf numFmtId="49" fontId="10" fillId="0" borderId="40" xfId="5" applyNumberFormat="1" applyFont="1" applyFill="1" applyBorder="1" applyAlignment="1">
      <alignment horizontal="center" vertical="center"/>
    </xf>
    <xf numFmtId="49" fontId="10" fillId="0" borderId="38" xfId="5" applyNumberFormat="1" applyFont="1" applyFill="1" applyBorder="1" applyAlignment="1">
      <alignment horizontal="center" vertical="center" wrapText="1"/>
    </xf>
    <xf numFmtId="49" fontId="10" fillId="0" borderId="39" xfId="5" applyNumberFormat="1" applyFont="1" applyFill="1" applyBorder="1" applyAlignment="1">
      <alignment horizontal="center" vertical="center" wrapText="1"/>
    </xf>
    <xf numFmtId="49" fontId="10" fillId="0" borderId="40" xfId="5" applyNumberFormat="1" applyFont="1" applyFill="1" applyBorder="1" applyAlignment="1">
      <alignment horizontal="center" vertical="center" wrapText="1"/>
    </xf>
    <xf numFmtId="49" fontId="10" fillId="2" borderId="38" xfId="5" applyNumberFormat="1" applyFont="1" applyFill="1" applyBorder="1" applyAlignment="1">
      <alignment horizontal="center" vertical="center"/>
    </xf>
    <xf numFmtId="49" fontId="10" fillId="2" borderId="39" xfId="5" applyNumberFormat="1" applyFont="1" applyFill="1" applyBorder="1" applyAlignment="1">
      <alignment horizontal="center" vertical="center"/>
    </xf>
    <xf numFmtId="49" fontId="10" fillId="2" borderId="20" xfId="5" applyNumberFormat="1" applyFont="1" applyFill="1" applyBorder="1" applyAlignment="1">
      <alignment horizontal="center" vertical="center"/>
    </xf>
    <xf numFmtId="49" fontId="10" fillId="2" borderId="33" xfId="5" applyNumberFormat="1" applyFont="1" applyFill="1" applyBorder="1" applyAlignment="1">
      <alignment horizontal="center" vertical="center"/>
    </xf>
    <xf numFmtId="49" fontId="10" fillId="2" borderId="34" xfId="5" applyNumberFormat="1" applyFont="1" applyFill="1" applyBorder="1" applyAlignment="1">
      <alignment horizontal="center" vertical="center"/>
    </xf>
    <xf numFmtId="49" fontId="10" fillId="0" borderId="41" xfId="5" applyNumberFormat="1" applyFont="1" applyFill="1" applyBorder="1" applyAlignment="1">
      <alignment horizontal="center" vertical="center"/>
    </xf>
    <xf numFmtId="49" fontId="19" fillId="0" borderId="42" xfId="5" applyNumberFormat="1" applyFont="1" applyFill="1" applyBorder="1" applyAlignment="1">
      <alignment horizontal="center" vertical="center" wrapText="1"/>
    </xf>
    <xf numFmtId="49" fontId="19" fillId="0" borderId="43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0" fillId="0" borderId="22" xfId="5" applyNumberFormat="1" applyFont="1" applyFill="1" applyBorder="1" applyAlignment="1">
      <alignment horizontal="right" vertical="center" wrapText="1"/>
    </xf>
    <xf numFmtId="0" fontId="10" fillId="0" borderId="44" xfId="5" applyNumberFormat="1" applyFont="1" applyFill="1" applyBorder="1" applyAlignment="1">
      <alignment horizontal="right" vertical="center" wrapText="1"/>
    </xf>
    <xf numFmtId="49" fontId="10" fillId="0" borderId="41" xfId="5" applyNumberFormat="1" applyFont="1" applyFill="1" applyBorder="1" applyAlignment="1">
      <alignment horizontal="center" vertical="center" wrapText="1"/>
    </xf>
    <xf numFmtId="49" fontId="10" fillId="0" borderId="44" xfId="4" applyNumberFormat="1" applyFont="1" applyFill="1" applyBorder="1" applyAlignment="1">
      <alignment horizontal="left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4" fillId="0" borderId="1" xfId="6" applyNumberFormat="1" applyFont="1" applyFill="1" applyBorder="1" applyAlignment="1">
      <alignment horizontal="left" vertical="top" wrapText="1"/>
    </xf>
    <xf numFmtId="49" fontId="4" fillId="0" borderId="44" xfId="6" applyNumberFormat="1" applyFont="1" applyFill="1" applyBorder="1" applyAlignment="1">
      <alignment horizontal="left" vertical="top" wrapText="1"/>
    </xf>
    <xf numFmtId="49" fontId="14" fillId="0" borderId="22" xfId="6" applyNumberFormat="1" applyFont="1" applyFill="1" applyBorder="1" applyAlignment="1">
      <alignment horizontal="left" vertical="top" wrapText="1"/>
    </xf>
    <xf numFmtId="49" fontId="14" fillId="0" borderId="1" xfId="6" applyNumberFormat="1" applyFont="1" applyFill="1" applyBorder="1" applyAlignment="1">
      <alignment horizontal="left" vertical="top" wrapText="1"/>
    </xf>
    <xf numFmtId="49" fontId="14" fillId="0" borderId="44" xfId="6" applyNumberFormat="1" applyFont="1" applyFill="1" applyBorder="1" applyAlignment="1">
      <alignment horizontal="left" vertical="top" wrapText="1"/>
    </xf>
    <xf numFmtId="49" fontId="10" fillId="0" borderId="15" xfId="6" applyNumberFormat="1" applyFont="1" applyFill="1" applyBorder="1" applyAlignment="1">
      <alignment horizontal="left" vertical="top" wrapText="1"/>
    </xf>
    <xf numFmtId="49" fontId="10" fillId="0" borderId="37" xfId="6" applyNumberFormat="1" applyFont="1" applyFill="1" applyBorder="1" applyAlignment="1">
      <alignment horizontal="left" vertical="top" wrapText="1"/>
    </xf>
    <xf numFmtId="49" fontId="4" fillId="0" borderId="25" xfId="6" applyNumberFormat="1" applyFont="1" applyFill="1" applyBorder="1" applyAlignment="1">
      <alignment horizontal="left" vertical="top" wrapText="1"/>
    </xf>
    <xf numFmtId="49" fontId="10" fillId="0" borderId="38" xfId="4" applyNumberFormat="1" applyFont="1" applyFill="1" applyBorder="1" applyAlignment="1">
      <alignment horizontal="left" wrapText="1"/>
    </xf>
    <xf numFmtId="49" fontId="10" fillId="0" borderId="39" xfId="4" applyNumberFormat="1" applyFont="1" applyFill="1" applyBorder="1" applyAlignment="1">
      <alignment horizontal="left" wrapText="1"/>
    </xf>
    <xf numFmtId="49" fontId="10" fillId="0" borderId="40" xfId="4" applyNumberFormat="1" applyFont="1" applyFill="1" applyBorder="1" applyAlignment="1">
      <alignment horizontal="left" wrapText="1"/>
    </xf>
    <xf numFmtId="49" fontId="10" fillId="0" borderId="20" xfId="6" applyNumberFormat="1" applyFont="1" applyFill="1" applyBorder="1" applyAlignment="1">
      <alignment horizontal="left" vertical="top" wrapText="1"/>
    </xf>
    <xf numFmtId="49" fontId="10" fillId="0" borderId="33" xfId="6" applyNumberFormat="1" applyFont="1" applyFill="1" applyBorder="1" applyAlignment="1">
      <alignment horizontal="left" vertical="top" wrapText="1"/>
    </xf>
    <xf numFmtId="49" fontId="10" fillId="0" borderId="45" xfId="6" applyNumberFormat="1" applyFont="1" applyFill="1" applyBorder="1" applyAlignment="1">
      <alignment horizontal="left" vertical="top" wrapText="1"/>
    </xf>
    <xf numFmtId="49" fontId="10" fillId="0" borderId="22" xfId="6" applyNumberFormat="1" applyFont="1" applyFill="1" applyBorder="1" applyAlignment="1">
      <alignment horizontal="left" vertical="top" wrapText="1"/>
    </xf>
    <xf numFmtId="49" fontId="10" fillId="0" borderId="1" xfId="6" applyNumberFormat="1" applyFont="1" applyFill="1" applyBorder="1" applyAlignment="1">
      <alignment horizontal="left" vertical="top" wrapText="1"/>
    </xf>
    <xf numFmtId="49" fontId="10" fillId="0" borderId="44" xfId="6" applyNumberFormat="1" applyFont="1" applyFill="1" applyBorder="1" applyAlignment="1">
      <alignment horizontal="left" vertical="top" wrapText="1"/>
    </xf>
    <xf numFmtId="49" fontId="10" fillId="0" borderId="36" xfId="6" applyNumberFormat="1" applyFont="1" applyFill="1" applyBorder="1" applyAlignment="1">
      <alignment horizontal="left" vertical="top" wrapText="1"/>
    </xf>
    <xf numFmtId="49" fontId="10" fillId="0" borderId="23" xfId="6" applyNumberFormat="1" applyFont="1" applyFill="1" applyBorder="1" applyAlignment="1">
      <alignment horizontal="left" vertical="top" wrapText="1"/>
    </xf>
    <xf numFmtId="49" fontId="10" fillId="0" borderId="49" xfId="6" applyNumberFormat="1" applyFont="1" applyFill="1" applyBorder="1" applyAlignment="1">
      <alignment horizontal="left" vertical="top" wrapText="1"/>
    </xf>
    <xf numFmtId="49" fontId="10" fillId="0" borderId="38" xfId="6" applyNumberFormat="1" applyFont="1" applyFill="1" applyBorder="1" applyAlignment="1">
      <alignment horizontal="left" vertical="top" wrapText="1"/>
    </xf>
    <xf numFmtId="49" fontId="10" fillId="0" borderId="39" xfId="6" applyNumberFormat="1" applyFont="1" applyFill="1" applyBorder="1" applyAlignment="1">
      <alignment horizontal="left" vertical="top" wrapText="1"/>
    </xf>
    <xf numFmtId="49" fontId="10" fillId="0" borderId="15" xfId="4" applyNumberFormat="1" applyFont="1" applyFill="1" applyBorder="1" applyAlignment="1">
      <alignment wrapText="1"/>
    </xf>
    <xf numFmtId="49" fontId="10" fillId="0" borderId="37" xfId="4" applyNumberFormat="1" applyFont="1" applyFill="1" applyBorder="1" applyAlignment="1">
      <alignment wrapText="1"/>
    </xf>
    <xf numFmtId="49" fontId="10" fillId="0" borderId="47" xfId="4" applyNumberFormat="1" applyFont="1" applyFill="1" applyBorder="1" applyAlignment="1">
      <alignment wrapText="1"/>
    </xf>
    <xf numFmtId="49" fontId="10" fillId="0" borderId="26" xfId="5" applyNumberFormat="1" applyFont="1" applyFill="1" applyBorder="1" applyAlignment="1">
      <alignment vertical="center" wrapText="1"/>
    </xf>
    <xf numFmtId="49" fontId="10" fillId="0" borderId="2" xfId="5" applyNumberFormat="1" applyFont="1" applyFill="1" applyBorder="1" applyAlignment="1">
      <alignment vertical="center" wrapText="1"/>
    </xf>
    <xf numFmtId="0" fontId="11" fillId="0" borderId="1" xfId="6" applyFont="1" applyBorder="1" applyAlignment="1">
      <alignment horizontal="left" vertical="top" wrapText="1"/>
    </xf>
    <xf numFmtId="49" fontId="10" fillId="0" borderId="26" xfId="6" applyNumberFormat="1" applyFont="1" applyFill="1" applyBorder="1" applyAlignment="1">
      <alignment horizontal="left" vertical="top" wrapText="1"/>
    </xf>
    <xf numFmtId="49" fontId="10" fillId="0" borderId="13" xfId="6" applyNumberFormat="1" applyFont="1" applyFill="1" applyBorder="1" applyAlignment="1">
      <alignment horizontal="left" vertical="top" wrapText="1"/>
    </xf>
    <xf numFmtId="49" fontId="10" fillId="0" borderId="51" xfId="6" applyNumberFormat="1" applyFont="1" applyFill="1" applyBorder="1" applyAlignment="1">
      <alignment horizontal="left" vertical="top" wrapText="1"/>
    </xf>
    <xf numFmtId="49" fontId="14" fillId="0" borderId="22" xfId="6" applyNumberFormat="1" applyFont="1" applyFill="1" applyBorder="1" applyAlignment="1">
      <alignment vertical="top" wrapText="1"/>
    </xf>
    <xf numFmtId="49" fontId="10" fillId="0" borderId="1" xfId="6" applyNumberFormat="1" applyFont="1" applyFill="1" applyBorder="1" applyAlignment="1">
      <alignment vertical="top" wrapText="1"/>
    </xf>
    <xf numFmtId="49" fontId="10" fillId="0" borderId="21" xfId="6" applyNumberFormat="1" applyFont="1" applyFill="1" applyBorder="1" applyAlignment="1">
      <alignment horizontal="left" vertical="top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61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13</xdr:col>
      <xdr:colOff>371475</xdr:colOff>
      <xdr:row>40</xdr:row>
      <xdr:rowOff>104775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857250"/>
          <a:ext cx="8601075" cy="61055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13</xdr:col>
      <xdr:colOff>400050</xdr:colOff>
      <xdr:row>82</xdr:row>
      <xdr:rowOff>76200</xdr:rowOff>
    </xdr:to>
    <xdr:pic>
      <xdr:nvPicPr>
        <xdr:cNvPr id="1167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0" y="7543800"/>
          <a:ext cx="8629650" cy="6591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685799</xdr:colOff>
      <xdr:row>86</xdr:row>
      <xdr:rowOff>0</xdr:rowOff>
    </xdr:from>
    <xdr:to>
      <xdr:col>13</xdr:col>
      <xdr:colOff>447674</xdr:colOff>
      <xdr:row>128</xdr:row>
      <xdr:rowOff>114300</xdr:rowOff>
    </xdr:to>
    <xdr:pic>
      <xdr:nvPicPr>
        <xdr:cNvPr id="11673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799" y="14744700"/>
          <a:ext cx="86772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133</xdr:row>
      <xdr:rowOff>0</xdr:rowOff>
    </xdr:from>
    <xdr:to>
      <xdr:col>14</xdr:col>
      <xdr:colOff>485775</xdr:colOff>
      <xdr:row>172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22802850"/>
          <a:ext cx="9401175" cy="67913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1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1" sqref="B11:C11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19"/>
      <c r="C3" s="121"/>
      <c r="D3" s="143"/>
      <c r="E3" s="144"/>
      <c r="F3" s="144"/>
      <c r="G3" s="144"/>
      <c r="H3" s="144"/>
      <c r="I3" s="144"/>
      <c r="J3" s="145"/>
      <c r="K3" s="110">
        <f ca="1">IF($D3="",0,MAX(INDIRECT("'"&amp;$D3&amp;"'!$H3:$AZ3")))</f>
        <v>0</v>
      </c>
      <c r="L3" s="111"/>
      <c r="M3" s="111"/>
      <c r="N3" s="112"/>
      <c r="O3" s="119" t="str">
        <f ca="1">IF($D3="","",COUNTIF(INDIRECT("'"&amp;$D3&amp;"'!$H"&amp;ROW(INDIRECT("'"&amp;$D3&amp;"'!TestResult"))&amp;":$AZ"&amp;ROW(INDIRECT("'"&amp;$D3&amp;"'!TestResult"))),O$9))</f>
        <v/>
      </c>
      <c r="P3" s="120"/>
      <c r="Q3" s="121"/>
      <c r="R3" s="119" t="str">
        <f ca="1">IF($D3="","",COUNTIF(INDIRECT("'"&amp;$D3&amp;"'!$H"&amp;ROW(INDIRECT("'"&amp;$D3&amp;"'!TestResult"))&amp;":$AZ"&amp;ROW(INDIRECT("'"&amp;$D3&amp;"'!TestResult"))),R$9))</f>
        <v/>
      </c>
      <c r="S3" s="120"/>
      <c r="T3" s="121"/>
      <c r="U3" s="119" t="str">
        <f ca="1">IF($D3="","",COUNTIF(INDIRECT("'"&amp;$D3&amp;"'!$H"&amp;ROW(INDIRECT("'"&amp;$D3&amp;"'!TestResult"))&amp;":$AZ"&amp;ROW(INDIRECT("'"&amp;$D3&amp;"'!TestResult"))),U$9))</f>
        <v/>
      </c>
      <c r="V3" s="120"/>
      <c r="W3" s="121"/>
      <c r="X3" s="119" t="str">
        <f ca="1">IF($D3="","",COUNTIF(INDIRECT("'"&amp;$D3&amp;"'!$H"&amp;ROW(INDIRECT("'"&amp;$D3&amp;"'!TestResult"))&amp;":$AZ"&amp;ROW(INDIRECT("'"&amp;$D3&amp;"'!TestResult"))),X$9))</f>
        <v/>
      </c>
      <c r="Y3" s="120"/>
      <c r="Z3" s="121"/>
      <c r="AA3" s="110">
        <f ca="1">SUM(O3:Z3)</f>
        <v>0</v>
      </c>
      <c r="AB3" s="111"/>
      <c r="AC3" s="111"/>
      <c r="AD3" s="112"/>
      <c r="AE3" s="110">
        <f ca="1">K3-AA3</f>
        <v>0</v>
      </c>
      <c r="AF3" s="111"/>
      <c r="AG3" s="111"/>
      <c r="AH3" s="112"/>
      <c r="AI3" s="113" t="str">
        <f ca="1">IF($D3="","",SUM(INDIRECT("'"&amp;$D3&amp;"'!BugCount")))</f>
        <v/>
      </c>
      <c r="AJ3" s="114"/>
      <c r="AK3" s="114"/>
      <c r="AL3" s="115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62" t="s">
        <v>9</v>
      </c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4"/>
    </row>
    <row r="8" spans="1:38" ht="13.5" customHeight="1">
      <c r="B8" s="146"/>
      <c r="C8" s="147"/>
      <c r="D8" s="146"/>
      <c r="E8" s="148"/>
      <c r="F8" s="148"/>
      <c r="G8" s="148"/>
      <c r="H8" s="148"/>
      <c r="I8" s="148"/>
      <c r="J8" s="147"/>
      <c r="K8" s="128" t="s">
        <v>2</v>
      </c>
      <c r="L8" s="129"/>
      <c r="M8" s="129"/>
      <c r="N8" s="130"/>
      <c r="O8" s="134" t="s">
        <v>1</v>
      </c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6"/>
      <c r="AA8" s="128" t="s">
        <v>34</v>
      </c>
      <c r="AB8" s="129"/>
      <c r="AC8" s="129"/>
      <c r="AD8" s="130"/>
      <c r="AE8" s="128" t="s">
        <v>34</v>
      </c>
      <c r="AF8" s="129"/>
      <c r="AG8" s="129"/>
      <c r="AH8" s="130"/>
      <c r="AI8" s="125"/>
      <c r="AJ8" s="126"/>
      <c r="AK8" s="126"/>
      <c r="AL8" s="127"/>
    </row>
    <row r="9" spans="1:38" s="4" customFormat="1">
      <c r="B9" s="122" t="s">
        <v>16</v>
      </c>
      <c r="C9" s="123"/>
      <c r="D9" s="122" t="s">
        <v>17</v>
      </c>
      <c r="E9" s="124"/>
      <c r="F9" s="124"/>
      <c r="G9" s="124"/>
      <c r="H9" s="124"/>
      <c r="I9" s="124"/>
      <c r="J9" s="123"/>
      <c r="K9" s="131" t="s">
        <v>32</v>
      </c>
      <c r="L9" s="132"/>
      <c r="M9" s="132"/>
      <c r="N9" s="133"/>
      <c r="O9" s="137" t="s">
        <v>18</v>
      </c>
      <c r="P9" s="138"/>
      <c r="Q9" s="139"/>
      <c r="R9" s="137" t="s">
        <v>19</v>
      </c>
      <c r="S9" s="138"/>
      <c r="T9" s="139"/>
      <c r="U9" s="137" t="s">
        <v>20</v>
      </c>
      <c r="V9" s="138"/>
      <c r="W9" s="139"/>
      <c r="X9" s="137" t="s">
        <v>21</v>
      </c>
      <c r="Y9" s="138"/>
      <c r="Z9" s="139"/>
      <c r="AA9" s="131" t="s">
        <v>33</v>
      </c>
      <c r="AB9" s="132"/>
      <c r="AC9" s="132"/>
      <c r="AD9" s="133"/>
      <c r="AE9" s="131" t="s">
        <v>35</v>
      </c>
      <c r="AF9" s="132"/>
      <c r="AG9" s="132"/>
      <c r="AH9" s="133"/>
      <c r="AI9" s="149" t="s">
        <v>36</v>
      </c>
      <c r="AJ9" s="150"/>
      <c r="AK9" s="150"/>
      <c r="AL9" s="151"/>
    </row>
    <row r="10" spans="1:38" s="4" customFormat="1">
      <c r="B10" s="119">
        <v>1</v>
      </c>
      <c r="C10" s="121"/>
      <c r="D10" s="143" t="s">
        <v>63</v>
      </c>
      <c r="E10" s="144"/>
      <c r="F10" s="144"/>
      <c r="G10" s="144"/>
      <c r="H10" s="144"/>
      <c r="I10" s="144"/>
      <c r="J10" s="145"/>
      <c r="K10" s="110">
        <f ca="1">IF($D10="",0,MAX(INDIRECT("'"&amp;$D10&amp;"'!$H3:$AZ3")))</f>
        <v>8</v>
      </c>
      <c r="L10" s="111"/>
      <c r="M10" s="111"/>
      <c r="N10" s="112"/>
      <c r="O10" s="119">
        <f ca="1">IF($D10="","",COUNTIF(INDIRECT("'"&amp;$D10&amp;"'!$H"&amp;ROW(INDIRECT("'"&amp;$D10&amp;"'!TestResult"))&amp;":$AZ"&amp;ROW(INDIRECT("'"&amp;$D10&amp;"'!TestResult"))),O$9))</f>
        <v>8</v>
      </c>
      <c r="P10" s="120"/>
      <c r="Q10" s="121"/>
      <c r="R10" s="119">
        <f ca="1">IF($D10="","",COUNTIF(INDIRECT("'"&amp;$D10&amp;"'!$H"&amp;ROW(INDIRECT("'"&amp;$D10&amp;"'!TestResult"))&amp;":$AZ"&amp;ROW(INDIRECT("'"&amp;$D10&amp;"'!TestResult"))),R$9))</f>
        <v>0</v>
      </c>
      <c r="S10" s="120"/>
      <c r="T10" s="121"/>
      <c r="U10" s="119">
        <f ca="1">IF($D10="","",COUNTIF(INDIRECT("'"&amp;$D10&amp;"'!$H"&amp;ROW(INDIRECT("'"&amp;$D10&amp;"'!TestResult"))&amp;":$AZ"&amp;ROW(INDIRECT("'"&amp;$D10&amp;"'!TestResult"))),U$9))</f>
        <v>0</v>
      </c>
      <c r="V10" s="120"/>
      <c r="W10" s="121"/>
      <c r="X10" s="119">
        <f ca="1">IF($D10="","",COUNTIF(INDIRECT("'"&amp;$D10&amp;"'!$H"&amp;ROW(INDIRECT("'"&amp;$D10&amp;"'!TestResult"))&amp;":$AZ"&amp;ROW(INDIRECT("'"&amp;$D10&amp;"'!TestResult"))),X$9))</f>
        <v>0</v>
      </c>
      <c r="Y10" s="120"/>
      <c r="Z10" s="121"/>
      <c r="AA10" s="110">
        <f ca="1">SUM(O10:Z10)</f>
        <v>8</v>
      </c>
      <c r="AB10" s="111"/>
      <c r="AC10" s="111"/>
      <c r="AD10" s="112"/>
      <c r="AE10" s="110">
        <f ca="1">K10-AA10</f>
        <v>0</v>
      </c>
      <c r="AF10" s="111"/>
      <c r="AG10" s="111"/>
      <c r="AH10" s="112"/>
      <c r="AI10" s="113">
        <f ca="1">IF($D10="","",SUM(INDIRECT("'"&amp;$D10&amp;"'!BugCount")))</f>
        <v>0</v>
      </c>
      <c r="AJ10" s="114"/>
      <c r="AK10" s="114"/>
      <c r="AL10" s="115"/>
    </row>
    <row r="11" spans="1:38" s="4" customFormat="1">
      <c r="B11" s="119">
        <v>2</v>
      </c>
      <c r="C11" s="121"/>
      <c r="D11" s="143" t="s">
        <v>101</v>
      </c>
      <c r="E11" s="144"/>
      <c r="F11" s="144"/>
      <c r="G11" s="144"/>
      <c r="H11" s="144"/>
      <c r="I11" s="144"/>
      <c r="J11" s="145"/>
      <c r="K11" s="110">
        <f ca="1">IF($D11="",0,MAX(INDIRECT("'"&amp;$D11&amp;"'!$H3:$AZ3")))</f>
        <v>5</v>
      </c>
      <c r="L11" s="111"/>
      <c r="M11" s="111"/>
      <c r="N11" s="112"/>
      <c r="O11" s="119">
        <f ca="1">IF($D11="","",COUNTIF(INDIRECT("'"&amp;$D11&amp;"'!$H"&amp;ROW(INDIRECT("'"&amp;$D11&amp;"'!TestResult"))&amp;":$AZ"&amp;ROW(INDIRECT("'"&amp;$D11&amp;"'!TestResult"))),O$9))</f>
        <v>5</v>
      </c>
      <c r="P11" s="120"/>
      <c r="Q11" s="121"/>
      <c r="R11" s="119">
        <f ca="1">IF($D11="","",COUNTIF(INDIRECT("'"&amp;$D11&amp;"'!$H"&amp;ROW(INDIRECT("'"&amp;$D11&amp;"'!TestResult"))&amp;":$AZ"&amp;ROW(INDIRECT("'"&amp;$D11&amp;"'!TestResult"))),R$9))</f>
        <v>0</v>
      </c>
      <c r="S11" s="120"/>
      <c r="T11" s="121"/>
      <c r="U11" s="119">
        <f ca="1">IF($D11="","",COUNTIF(INDIRECT("'"&amp;$D11&amp;"'!$H"&amp;ROW(INDIRECT("'"&amp;$D11&amp;"'!TestResult"))&amp;":$AZ"&amp;ROW(INDIRECT("'"&amp;$D11&amp;"'!TestResult"))),U$9))</f>
        <v>0</v>
      </c>
      <c r="V11" s="120"/>
      <c r="W11" s="121"/>
      <c r="X11" s="119">
        <f ca="1">IF($D11="","",COUNTIF(INDIRECT("'"&amp;$D11&amp;"'!$H"&amp;ROW(INDIRECT("'"&amp;$D11&amp;"'!TestResult"))&amp;":$AZ"&amp;ROW(INDIRECT("'"&amp;$D11&amp;"'!TestResult"))),X$9))</f>
        <v>0</v>
      </c>
      <c r="Y11" s="120"/>
      <c r="Z11" s="121"/>
      <c r="AA11" s="110">
        <f ca="1">SUM(O11:Z11)</f>
        <v>5</v>
      </c>
      <c r="AB11" s="111"/>
      <c r="AC11" s="111"/>
      <c r="AD11" s="112"/>
      <c r="AE11" s="110">
        <f ca="1">K11-AA11</f>
        <v>0</v>
      </c>
      <c r="AF11" s="111"/>
      <c r="AG11" s="111"/>
      <c r="AH11" s="112"/>
      <c r="AI11" s="113">
        <f ca="1">IF($D11="","",SUM(INDIRECT("'"&amp;$D11&amp;"'!BugCount")))</f>
        <v>0</v>
      </c>
      <c r="AJ11" s="114"/>
      <c r="AK11" s="114"/>
      <c r="AL11" s="115"/>
    </row>
    <row r="12" spans="1:38" s="8" customFormat="1" ht="20.25">
      <c r="B12" s="5"/>
      <c r="C12" s="5"/>
      <c r="D12" s="6"/>
      <c r="E12" s="52"/>
      <c r="F12" s="52"/>
      <c r="G12" s="52"/>
      <c r="H12" s="52"/>
      <c r="I12" s="52"/>
      <c r="J12" s="52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"/>
      <c r="AG12" s="7"/>
      <c r="AH12" s="7"/>
      <c r="AI12" s="7"/>
      <c r="AJ12" s="7"/>
      <c r="AK12" s="7"/>
      <c r="AL12" s="7"/>
    </row>
    <row r="13" spans="1:38" s="4" customFormat="1">
      <c r="A13" s="4" t="s">
        <v>49</v>
      </c>
      <c r="B13" s="140" t="s">
        <v>2</v>
      </c>
      <c r="C13" s="141"/>
      <c r="D13" s="141"/>
      <c r="E13" s="141"/>
      <c r="F13" s="141"/>
      <c r="G13" s="141"/>
      <c r="H13" s="141"/>
      <c r="I13" s="141"/>
      <c r="J13" s="142"/>
      <c r="K13" s="152">
        <f ca="1">SUBTOTAL(9,K9:K12)</f>
        <v>13</v>
      </c>
      <c r="L13" s="153"/>
      <c r="M13" s="153"/>
      <c r="N13" s="154"/>
      <c r="O13" s="116">
        <f ca="1">SUBTOTAL(9,O9:O12)</f>
        <v>13</v>
      </c>
      <c r="P13" s="117"/>
      <c r="Q13" s="118"/>
      <c r="R13" s="116">
        <f ca="1">SUBTOTAL(9,R9:R12)</f>
        <v>0</v>
      </c>
      <c r="S13" s="117"/>
      <c r="T13" s="118"/>
      <c r="U13" s="116">
        <f ca="1">SUBTOTAL(9,U9:U12)</f>
        <v>0</v>
      </c>
      <c r="V13" s="117"/>
      <c r="W13" s="118"/>
      <c r="X13" s="116">
        <f ca="1">SUBTOTAL(9,X9:X12)</f>
        <v>0</v>
      </c>
      <c r="Y13" s="117"/>
      <c r="Z13" s="118"/>
      <c r="AA13" s="116">
        <f ca="1">SUBTOTAL(9,AA9:AA12)</f>
        <v>13</v>
      </c>
      <c r="AB13" s="117"/>
      <c r="AC13" s="117"/>
      <c r="AD13" s="118"/>
      <c r="AE13" s="116">
        <f ca="1">SUBTOTAL(9,AE9:AE12)</f>
        <v>0</v>
      </c>
      <c r="AF13" s="117"/>
      <c r="AG13" s="117"/>
      <c r="AH13" s="118"/>
      <c r="AI13" s="152">
        <f ca="1">SUBTOTAL(9,AI9:AI12)</f>
        <v>0</v>
      </c>
      <c r="AJ13" s="153"/>
      <c r="AK13" s="153"/>
      <c r="AL13" s="154"/>
    </row>
    <row r="14" spans="1:38" s="4" customFormat="1" ht="12.75" customHeight="1">
      <c r="B14" s="140" t="s">
        <v>3</v>
      </c>
      <c r="C14" s="141"/>
      <c r="D14" s="141"/>
      <c r="E14" s="141"/>
      <c r="F14" s="141"/>
      <c r="G14" s="141"/>
      <c r="H14" s="141"/>
      <c r="I14" s="141"/>
      <c r="J14" s="142"/>
      <c r="K14" s="155"/>
      <c r="L14" s="156"/>
      <c r="M14" s="156"/>
      <c r="N14" s="157"/>
      <c r="O14" s="158">
        <f ca="1">IF(ISERR(O13/$K$13),0,O13/$K$13)</f>
        <v>1</v>
      </c>
      <c r="P14" s="159"/>
      <c r="Q14" s="160"/>
      <c r="R14" s="158">
        <f ca="1">IF(ISERR(R13/$K$13),0,R13/$K$13)</f>
        <v>0</v>
      </c>
      <c r="S14" s="159"/>
      <c r="T14" s="160"/>
      <c r="U14" s="158">
        <f ca="1">IF(ISERR(U13/$K$13),0,U13/$K$13)</f>
        <v>0</v>
      </c>
      <c r="V14" s="159"/>
      <c r="W14" s="160"/>
      <c r="X14" s="158">
        <f ca="1">IF(ISERR(X13/$K$13),0,X13/$K$13)</f>
        <v>0</v>
      </c>
      <c r="Y14" s="159"/>
      <c r="Z14" s="160"/>
      <c r="AA14" s="158">
        <f ca="1">IF(ISERR(AA13/$K$13),0,AA13/$K$13)</f>
        <v>1</v>
      </c>
      <c r="AB14" s="159"/>
      <c r="AC14" s="159"/>
      <c r="AD14" s="160"/>
      <c r="AE14" s="158">
        <f ca="1">IF(ISERR(AE13/$K$13),0,AE13/$K$13)</f>
        <v>0</v>
      </c>
      <c r="AF14" s="159"/>
      <c r="AG14" s="159"/>
      <c r="AH14" s="160"/>
      <c r="AI14" s="155"/>
      <c r="AJ14" s="156"/>
      <c r="AK14" s="156"/>
      <c r="AL14" s="157"/>
    </row>
    <row r="30" spans="2:15" ht="15" customHeight="1">
      <c r="B30" s="161" t="s">
        <v>56</v>
      </c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</row>
    <row r="31" spans="2:15"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65">
    <mergeCell ref="B30:O31"/>
    <mergeCell ref="U14:W14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X14:Z14"/>
    <mergeCell ref="K13:N14"/>
    <mergeCell ref="O10:Q10"/>
    <mergeCell ref="O13:Q13"/>
    <mergeCell ref="O14:Q14"/>
    <mergeCell ref="K10:N10"/>
    <mergeCell ref="R10:T10"/>
    <mergeCell ref="R13:T13"/>
    <mergeCell ref="B13:J13"/>
    <mergeCell ref="B14:J14"/>
    <mergeCell ref="B10:C10"/>
    <mergeCell ref="B11:C11"/>
    <mergeCell ref="D11:J11"/>
    <mergeCell ref="K11:N11"/>
    <mergeCell ref="O11:Q11"/>
    <mergeCell ref="R11:T11"/>
    <mergeCell ref="D10:J10"/>
    <mergeCell ref="R14:T14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B8:C8"/>
    <mergeCell ref="D8:J8"/>
    <mergeCell ref="AI9:AL9"/>
    <mergeCell ref="AE11:AH11"/>
    <mergeCell ref="AI11:AL11"/>
    <mergeCell ref="X13:Z13"/>
    <mergeCell ref="U10:W10"/>
    <mergeCell ref="U13:W13"/>
    <mergeCell ref="AA10:AD10"/>
    <mergeCell ref="AA13:AD13"/>
    <mergeCell ref="U11:W11"/>
    <mergeCell ref="X11:Z11"/>
    <mergeCell ref="AA11:AD11"/>
    <mergeCell ref="AI13:AL14"/>
    <mergeCell ref="AE10:AH10"/>
    <mergeCell ref="AE13:AH13"/>
    <mergeCell ref="AE14:AH14"/>
    <mergeCell ref="AA14:AD14"/>
    <mergeCell ref="X10:Z10"/>
  </mergeCells>
  <phoneticPr fontId="3"/>
  <conditionalFormatting sqref="K12:AL12 K4:AL4 AI3:AL3 K3:AE3 AI10:AL11 K10:AE11">
    <cfRule type="cellIs" dxfId="60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1" t="s">
        <v>8</v>
      </c>
      <c r="C1" s="192"/>
      <c r="D1" s="192"/>
      <c r="E1" s="193"/>
      <c r="F1" s="191" t="s">
        <v>6</v>
      </c>
      <c r="G1" s="192"/>
      <c r="H1" s="192"/>
      <c r="I1" s="192"/>
      <c r="J1" s="192"/>
      <c r="K1" s="192"/>
      <c r="L1" s="192"/>
      <c r="M1" s="192"/>
      <c r="N1" s="192"/>
      <c r="O1" s="193"/>
      <c r="P1" s="205" t="s">
        <v>0</v>
      </c>
      <c r="Q1" s="206"/>
      <c r="R1" s="206"/>
      <c r="S1" s="207"/>
      <c r="T1" s="191" t="s">
        <v>10</v>
      </c>
      <c r="U1" s="192"/>
      <c r="V1" s="192"/>
      <c r="W1" s="192"/>
      <c r="X1" s="192"/>
      <c r="Y1" s="192"/>
      <c r="Z1" s="193"/>
      <c r="AA1" s="194" t="s">
        <v>11</v>
      </c>
      <c r="AB1" s="194"/>
      <c r="AC1" s="195"/>
      <c r="AD1" s="195"/>
      <c r="AE1" s="195"/>
      <c r="AF1" s="196"/>
    </row>
    <row r="2" spans="1:32" ht="20.100000000000001" customHeight="1" thickBot="1">
      <c r="A2" s="64" t="s">
        <v>4</v>
      </c>
      <c r="B2" s="197" t="s">
        <v>8</v>
      </c>
      <c r="C2" s="198"/>
      <c r="D2" s="198"/>
      <c r="E2" s="199"/>
      <c r="F2" s="197" t="s">
        <v>7</v>
      </c>
      <c r="G2" s="198"/>
      <c r="H2" s="199"/>
      <c r="I2" s="200" t="s">
        <v>12</v>
      </c>
      <c r="J2" s="201"/>
      <c r="K2" s="201"/>
      <c r="L2" s="201"/>
      <c r="M2" s="201"/>
      <c r="N2" s="201"/>
      <c r="O2" s="202"/>
      <c r="P2" s="197"/>
      <c r="Q2" s="198"/>
      <c r="R2" s="198"/>
      <c r="S2" s="198"/>
      <c r="T2" s="198"/>
      <c r="U2" s="198"/>
      <c r="V2" s="198"/>
      <c r="W2" s="198"/>
      <c r="X2" s="198"/>
      <c r="Y2" s="198"/>
      <c r="Z2" s="199"/>
      <c r="AA2" s="203" t="s">
        <v>13</v>
      </c>
      <c r="AB2" s="204"/>
      <c r="AC2" s="197" t="s">
        <v>14</v>
      </c>
      <c r="AD2" s="198"/>
      <c r="AE2" s="198"/>
      <c r="AF2" s="20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3" t="s">
        <v>52</v>
      </c>
      <c r="B4" s="169" t="s">
        <v>22</v>
      </c>
      <c r="C4" s="169"/>
      <c r="D4" s="169"/>
      <c r="E4" s="169"/>
      <c r="F4" s="169"/>
      <c r="G4" s="16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4"/>
      <c r="B5" s="185" t="s">
        <v>23</v>
      </c>
      <c r="C5" s="186"/>
      <c r="D5" s="186"/>
      <c r="E5" s="186"/>
      <c r="F5" s="186"/>
      <c r="G5" s="18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4"/>
      <c r="B6" s="21"/>
      <c r="C6" s="187" t="s">
        <v>24</v>
      </c>
      <c r="D6" s="188"/>
      <c r="E6" s="188"/>
      <c r="F6" s="188"/>
      <c r="G6" s="18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4"/>
      <c r="B7" s="21"/>
      <c r="C7" s="189"/>
      <c r="D7" s="185"/>
      <c r="E7" s="188"/>
      <c r="F7" s="188"/>
      <c r="G7" s="18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4"/>
      <c r="B8" s="21"/>
      <c r="C8" s="189"/>
      <c r="D8" s="185"/>
      <c r="E8" s="188"/>
      <c r="F8" s="188"/>
      <c r="G8" s="18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4"/>
      <c r="B9" s="21"/>
      <c r="C9" s="190" t="s">
        <v>25</v>
      </c>
      <c r="D9" s="188"/>
      <c r="E9" s="188"/>
      <c r="F9" s="188"/>
      <c r="G9" s="18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4"/>
      <c r="B10" s="21"/>
      <c r="C10" s="189"/>
      <c r="D10" s="185"/>
      <c r="E10" s="188"/>
      <c r="F10" s="188"/>
      <c r="G10" s="18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4"/>
      <c r="B11" s="21"/>
      <c r="C11" s="189"/>
      <c r="D11" s="185"/>
      <c r="E11" s="188"/>
      <c r="F11" s="188"/>
      <c r="G11" s="18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4"/>
      <c r="B12" s="21"/>
      <c r="C12" s="185"/>
      <c r="D12" s="188"/>
      <c r="E12" s="188"/>
      <c r="F12" s="188"/>
      <c r="G12" s="18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4"/>
      <c r="B13" s="21"/>
      <c r="C13" s="189"/>
      <c r="D13" s="185"/>
      <c r="E13" s="188"/>
      <c r="F13" s="188"/>
      <c r="G13" s="18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4"/>
      <c r="B14" s="21"/>
      <c r="C14" s="189"/>
      <c r="D14" s="185"/>
      <c r="E14" s="188"/>
      <c r="F14" s="188"/>
      <c r="G14" s="18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5" t="s">
        <v>53</v>
      </c>
      <c r="B15" s="168" t="s">
        <v>26</v>
      </c>
      <c r="C15" s="169"/>
      <c r="D15" s="169"/>
      <c r="E15" s="169"/>
      <c r="F15" s="169"/>
      <c r="G15" s="169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66"/>
      <c r="B16" s="28"/>
      <c r="C16" s="170" t="s">
        <v>27</v>
      </c>
      <c r="D16" s="171"/>
      <c r="E16" s="171"/>
      <c r="F16" s="171"/>
      <c r="G16" s="171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6"/>
      <c r="B17" s="172"/>
      <c r="C17" s="170" t="s">
        <v>28</v>
      </c>
      <c r="D17" s="171"/>
      <c r="E17" s="171"/>
      <c r="F17" s="171"/>
      <c r="G17" s="171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6"/>
      <c r="B18" s="172"/>
      <c r="C18" s="170" t="s">
        <v>29</v>
      </c>
      <c r="D18" s="171"/>
      <c r="E18" s="171"/>
      <c r="F18" s="171"/>
      <c r="G18" s="171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6"/>
      <c r="B19" s="172"/>
      <c r="C19" s="170" t="s">
        <v>30</v>
      </c>
      <c r="D19" s="171"/>
      <c r="E19" s="171"/>
      <c r="F19" s="171"/>
      <c r="G19" s="171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6"/>
      <c r="B20" s="172"/>
      <c r="C20" s="170"/>
      <c r="D20" s="171"/>
      <c r="E20" s="171"/>
      <c r="F20" s="171"/>
      <c r="G20" s="171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66"/>
      <c r="B21" s="172"/>
      <c r="C21" s="170"/>
      <c r="D21" s="171"/>
      <c r="E21" s="171"/>
      <c r="F21" s="171"/>
      <c r="G21" s="171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66"/>
      <c r="B22" s="172"/>
      <c r="C22" s="170"/>
      <c r="D22" s="171"/>
      <c r="E22" s="171"/>
      <c r="F22" s="171"/>
      <c r="G22" s="171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67"/>
      <c r="B23" s="172"/>
      <c r="C23" s="173"/>
      <c r="D23" s="174"/>
      <c r="E23" s="174"/>
      <c r="F23" s="174"/>
      <c r="G23" s="174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75" t="s">
        <v>54</v>
      </c>
      <c r="B24" s="177"/>
      <c r="C24" s="178"/>
      <c r="D24" s="178"/>
      <c r="E24" s="178"/>
      <c r="F24" s="179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76"/>
      <c r="B25" s="180"/>
      <c r="C25" s="181"/>
      <c r="D25" s="181"/>
      <c r="E25" s="181"/>
      <c r="F25" s="182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76"/>
      <c r="B26" s="180"/>
      <c r="C26" s="181"/>
      <c r="D26" s="181"/>
      <c r="E26" s="181"/>
      <c r="F26" s="182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76"/>
      <c r="B27" s="180"/>
      <c r="C27" s="181"/>
      <c r="D27" s="181"/>
      <c r="E27" s="181"/>
      <c r="F27" s="182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09" t="s">
        <v>55</v>
      </c>
      <c r="B28" s="211" t="s">
        <v>47</v>
      </c>
      <c r="C28" s="211"/>
      <c r="D28" s="211"/>
      <c r="E28" s="211"/>
      <c r="F28" s="212" t="str">
        <f>GetBugSheetName()</f>
        <v>Page_Load_</v>
      </c>
      <c r="G28" s="21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10"/>
      <c r="B29" s="200" t="s">
        <v>31</v>
      </c>
      <c r="C29" s="201"/>
      <c r="D29" s="201"/>
      <c r="E29" s="202"/>
      <c r="F29" s="200"/>
      <c r="G29" s="21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</mergeCells>
  <phoneticPr fontId="3"/>
  <conditionalFormatting sqref="H3:AF29">
    <cfRule type="expression" dxfId="59" priority="1" stopIfTrue="1">
      <formula>H$27="NA"</formula>
    </cfRule>
    <cfRule type="expression" dxfId="58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3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C21" sqref="A21:XFD2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91" t="s">
        <v>64</v>
      </c>
      <c r="C1" s="192"/>
      <c r="D1" s="192"/>
      <c r="E1" s="193"/>
      <c r="F1" s="191" t="s">
        <v>65</v>
      </c>
      <c r="G1" s="192"/>
      <c r="H1" s="192"/>
      <c r="I1" s="192"/>
      <c r="J1" s="192"/>
      <c r="K1" s="192"/>
      <c r="L1" s="192"/>
      <c r="M1" s="192"/>
      <c r="N1" s="192"/>
      <c r="O1" s="193"/>
      <c r="P1" s="205" t="s">
        <v>38</v>
      </c>
      <c r="Q1" s="206"/>
      <c r="R1" s="206"/>
      <c r="S1" s="207"/>
      <c r="T1" s="191" t="s">
        <v>66</v>
      </c>
      <c r="U1" s="192"/>
      <c r="V1" s="192"/>
      <c r="W1" s="192"/>
      <c r="X1" s="192"/>
      <c r="Y1" s="192"/>
      <c r="Z1" s="193"/>
      <c r="AA1" s="194" t="s">
        <v>39</v>
      </c>
      <c r="AB1" s="194"/>
      <c r="AC1" s="195">
        <v>43701</v>
      </c>
      <c r="AD1" s="195"/>
      <c r="AE1" s="195"/>
      <c r="AF1" s="196"/>
    </row>
    <row r="2" spans="1:32" ht="20.100000000000001" customHeight="1" thickBot="1">
      <c r="A2" s="64" t="s">
        <v>40</v>
      </c>
      <c r="B2" s="197" t="s">
        <v>67</v>
      </c>
      <c r="C2" s="198"/>
      <c r="D2" s="198"/>
      <c r="E2" s="199"/>
      <c r="F2" s="197" t="s">
        <v>68</v>
      </c>
      <c r="G2" s="198"/>
      <c r="H2" s="199"/>
      <c r="I2" s="200" t="s">
        <v>68</v>
      </c>
      <c r="J2" s="201"/>
      <c r="K2" s="201"/>
      <c r="L2" s="201"/>
      <c r="M2" s="201"/>
      <c r="N2" s="201"/>
      <c r="O2" s="202"/>
      <c r="P2" s="197"/>
      <c r="Q2" s="198"/>
      <c r="R2" s="198"/>
      <c r="S2" s="198"/>
      <c r="T2" s="198"/>
      <c r="U2" s="198"/>
      <c r="V2" s="198"/>
      <c r="W2" s="198"/>
      <c r="X2" s="198"/>
      <c r="Y2" s="198"/>
      <c r="Z2" s="199"/>
      <c r="AA2" s="203" t="s">
        <v>41</v>
      </c>
      <c r="AB2" s="204"/>
      <c r="AC2" s="197" t="s">
        <v>42</v>
      </c>
      <c r="AD2" s="198"/>
      <c r="AE2" s="198"/>
      <c r="AF2" s="208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IF(COUNTA(H4:H32)&gt;0,1,"")</f>
        <v>1</v>
      </c>
      <c r="I3" s="12">
        <f>IF(COUNTA(I4:I32)&gt;0,IF(H3&gt;0,H3+1,""),"")</f>
        <v>2</v>
      </c>
      <c r="J3" s="12">
        <f>IF(COUNTA(J4:J32)&gt;0,IF(I3&gt;0,I3+1,""),"")</f>
        <v>3</v>
      </c>
      <c r="K3" s="12">
        <f>IF(COUNTA(K4:K32)&gt;0,IF(J3&gt;0,J3+1,""),"")</f>
        <v>4</v>
      </c>
      <c r="L3" s="12">
        <f>IF(COUNTA(L4:L32)&gt;0,IF(K3&gt;0,K3+1,""),"")</f>
        <v>5</v>
      </c>
      <c r="M3" s="12">
        <f>IF(COUNTA(M4:M32)&gt;0,IF(L3&gt;0,L3+1,""),"")</f>
        <v>6</v>
      </c>
      <c r="N3" s="12">
        <f>IF(COUNTA(N4:N32)&gt;0,IF(M3&gt;0,M3+1,""),"")</f>
        <v>7</v>
      </c>
      <c r="O3" s="12">
        <f>IF(COUNTA(O4:O32)&gt;0,IF(N3&gt;0,N3+1,""),"")</f>
        <v>8</v>
      </c>
      <c r="P3" s="12" t="str">
        <f>IF(COUNTA(P4:P32)&gt;0,IF(O3&gt;0,O3+1,""),"")</f>
        <v/>
      </c>
      <c r="Q3" s="12" t="str">
        <f>IF(COUNTA(Q4:Q32)&gt;0,IF(P3&gt;0,P3+1,""),"")</f>
        <v/>
      </c>
      <c r="R3" s="12" t="str">
        <f>IF(COUNTA(R4:R32)&gt;0,IF(Q3&gt;0,Q3+1,""),"")</f>
        <v/>
      </c>
      <c r="S3" s="12" t="str">
        <f>IF(COUNTA(S4:S32)&gt;0,IF(R3&gt;0,R3+1,""),"")</f>
        <v/>
      </c>
      <c r="T3" s="12" t="str">
        <f>IF(COUNTA(T4:T32)&gt;0,IF(S3&gt;0,S3+1,""),"")</f>
        <v/>
      </c>
      <c r="U3" s="12" t="str">
        <f>IF(COUNTA(U4:U32)&gt;0,IF(T3&gt;0,T3+1,""),"")</f>
        <v/>
      </c>
      <c r="V3" s="12" t="str">
        <f>IF(COUNTA(V4:V32)&gt;0,IF(U3&gt;0,U3+1,""),"")</f>
        <v/>
      </c>
      <c r="W3" s="12" t="str">
        <f>IF(COUNTA(W4:W32)&gt;0,IF(V3&gt;0,V3+1,""),"")</f>
        <v/>
      </c>
      <c r="X3" s="12" t="str">
        <f>IF(COUNTA(X4:X32)&gt;0,IF(W3&gt;0,W3+1,""),"")</f>
        <v/>
      </c>
      <c r="Y3" s="12" t="str">
        <f>IF(COUNTA(Y4:Y32)&gt;0,IF(X3&gt;0,X3+1,""),"")</f>
        <v/>
      </c>
      <c r="Z3" s="12" t="str">
        <f>IF(COUNTA(Z4:Z32)&gt;0,IF(Y3&gt;0,Y3+1,""),"")</f>
        <v/>
      </c>
      <c r="AA3" s="12" t="str">
        <f>IF(COUNTA(AA4:AA32)&gt;0,IF(Z3&gt;0,Z3+1,""),"")</f>
        <v/>
      </c>
      <c r="AB3" s="12" t="str">
        <f>IF(COUNTA(AB4:AB32)&gt;0,IF(AA3&gt;0,AA3+1,""),"")</f>
        <v/>
      </c>
      <c r="AC3" s="12" t="str">
        <f>IF(COUNTA(AC4:AC32)&gt;0,IF(AB3&gt;0,AB3+1,""),"")</f>
        <v/>
      </c>
      <c r="AD3" s="12" t="str">
        <f>IF(COUNTA(AD4:AD32)&gt;0,IF(AC3&gt;0,AC3+1,""),"")</f>
        <v/>
      </c>
      <c r="AE3" s="12" t="str">
        <f>IF(COUNTA(AE4:AE32)&gt;0,IF(AD3&gt;0,AD3+1,""),"")</f>
        <v/>
      </c>
      <c r="AF3" s="13" t="str">
        <f>IF(COUNTA(AF4:AF32)&gt;0,IF(AE3&gt;0,AE3+1,""),"")</f>
        <v/>
      </c>
    </row>
    <row r="4" spans="1:32" s="17" customFormat="1" ht="13.5" customHeight="1">
      <c r="A4" s="183" t="s">
        <v>59</v>
      </c>
      <c r="B4" s="228" t="s">
        <v>69</v>
      </c>
      <c r="C4" s="229"/>
      <c r="D4" s="229"/>
      <c r="E4" s="229"/>
      <c r="F4" s="229"/>
      <c r="G4" s="23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4"/>
      <c r="B5" s="231" t="s">
        <v>63</v>
      </c>
      <c r="C5" s="232"/>
      <c r="D5" s="232"/>
      <c r="E5" s="232"/>
      <c r="F5" s="232"/>
      <c r="G5" s="233"/>
      <c r="H5" s="78" t="s">
        <v>94</v>
      </c>
      <c r="I5" s="79" t="s">
        <v>94</v>
      </c>
      <c r="J5" s="79" t="s">
        <v>94</v>
      </c>
      <c r="K5" s="79" t="s">
        <v>94</v>
      </c>
      <c r="L5" s="79" t="s">
        <v>94</v>
      </c>
      <c r="M5" s="79" t="s">
        <v>94</v>
      </c>
      <c r="N5" s="7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4"/>
      <c r="B6" s="222"/>
      <c r="C6" s="216" t="s">
        <v>70</v>
      </c>
      <c r="D6" s="217"/>
      <c r="E6" s="217"/>
      <c r="F6" s="217"/>
      <c r="G6" s="218"/>
      <c r="H6"/>
      <c r="I6" s="80"/>
      <c r="J6" s="80"/>
      <c r="K6" s="80"/>
      <c r="L6" s="80"/>
      <c r="M6" s="80"/>
      <c r="N6" s="80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4"/>
      <c r="B7" s="223"/>
      <c r="C7" s="72"/>
      <c r="D7" s="216" t="s">
        <v>71</v>
      </c>
      <c r="E7" s="217"/>
      <c r="F7" s="217"/>
      <c r="G7" s="218"/>
      <c r="H7" s="81" t="s">
        <v>94</v>
      </c>
      <c r="I7" s="80"/>
      <c r="J7" s="80"/>
      <c r="K7" s="80"/>
      <c r="L7" s="80"/>
      <c r="M7" s="80"/>
      <c r="N7" s="80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84"/>
      <c r="B8" s="223"/>
      <c r="C8" s="216" t="s">
        <v>72</v>
      </c>
      <c r="D8" s="217"/>
      <c r="E8" s="217"/>
      <c r="F8" s="217"/>
      <c r="G8" s="218"/>
      <c r="H8" s="82"/>
      <c r="I8" s="83"/>
      <c r="J8" s="80"/>
      <c r="K8" s="80"/>
      <c r="L8" s="80"/>
      <c r="M8" s="80"/>
      <c r="N8" s="80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84"/>
      <c r="B9" s="223"/>
      <c r="C9" s="72"/>
      <c r="D9" s="216" t="s">
        <v>73</v>
      </c>
      <c r="E9" s="217"/>
      <c r="F9" s="217"/>
      <c r="G9" s="218"/>
      <c r="H9" s="82"/>
      <c r="I9" s="79" t="s">
        <v>94</v>
      </c>
      <c r="J9" s="80"/>
      <c r="K9" s="80"/>
      <c r="L9" s="80"/>
      <c r="M9" s="80"/>
      <c r="N9" s="80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84"/>
      <c r="B10" s="223"/>
      <c r="C10" s="216" t="s">
        <v>74</v>
      </c>
      <c r="D10" s="217"/>
      <c r="E10" s="217"/>
      <c r="F10" s="217"/>
      <c r="G10" s="218"/>
      <c r="H10" s="82"/>
      <c r="I10" s="84"/>
      <c r="J10" s="83"/>
      <c r="K10" s="80"/>
      <c r="L10" s="80"/>
      <c r="M10" s="80"/>
      <c r="N10" s="80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84"/>
      <c r="B11" s="223"/>
      <c r="C11" s="72"/>
      <c r="D11" s="216" t="s">
        <v>73</v>
      </c>
      <c r="E11" s="217"/>
      <c r="F11" s="217"/>
      <c r="G11" s="218"/>
      <c r="H11" s="82"/>
      <c r="I11" s="84"/>
      <c r="J11" s="79" t="s">
        <v>94</v>
      </c>
      <c r="K11" s="80"/>
      <c r="L11" s="80"/>
      <c r="M11" s="80"/>
      <c r="N11" s="80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84"/>
      <c r="B12" s="223"/>
      <c r="C12" s="216" t="s">
        <v>75</v>
      </c>
      <c r="D12" s="217"/>
      <c r="E12" s="217"/>
      <c r="F12" s="217"/>
      <c r="G12" s="218"/>
      <c r="H12" s="82"/>
      <c r="I12" s="84"/>
      <c r="J12" s="84"/>
      <c r="K12" s="80"/>
      <c r="L12" s="80"/>
      <c r="M12" s="80"/>
      <c r="N12" s="80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84"/>
      <c r="B13" s="223"/>
      <c r="C13" s="72"/>
      <c r="D13" s="216" t="s">
        <v>77</v>
      </c>
      <c r="E13" s="217"/>
      <c r="F13" s="217"/>
      <c r="G13" s="218"/>
      <c r="H13" s="82"/>
      <c r="I13" s="84"/>
      <c r="J13" s="84"/>
      <c r="K13" s="79" t="s">
        <v>94</v>
      </c>
      <c r="L13" s="80"/>
      <c r="M13" s="80"/>
      <c r="N13" s="80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84"/>
      <c r="B14" s="223"/>
      <c r="C14" s="219" t="s">
        <v>78</v>
      </c>
      <c r="D14" s="220"/>
      <c r="E14" s="220"/>
      <c r="F14" s="220"/>
      <c r="G14" s="221"/>
      <c r="H14" s="82"/>
      <c r="I14" s="80"/>
      <c r="J14" s="83"/>
      <c r="K14"/>
      <c r="L14" s="84"/>
      <c r="M14" s="80"/>
      <c r="N14" s="80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84"/>
      <c r="B15" s="223"/>
      <c r="C15" s="219" t="s">
        <v>79</v>
      </c>
      <c r="D15" s="220"/>
      <c r="E15" s="220"/>
      <c r="F15" s="220"/>
      <c r="G15" s="221"/>
      <c r="H15" s="82"/>
      <c r="I15" s="80"/>
      <c r="J15" s="80"/>
      <c r="K15" s="83"/>
      <c r="L15" s="83"/>
      <c r="M15" s="84"/>
      <c r="N15" s="80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>
      <c r="A16" s="184"/>
      <c r="B16" s="94"/>
      <c r="C16" s="216" t="s">
        <v>80</v>
      </c>
      <c r="D16" s="217"/>
      <c r="E16" s="217"/>
      <c r="F16" s="217"/>
      <c r="G16" s="224"/>
      <c r="H16" s="85"/>
      <c r="I16" s="86"/>
      <c r="J16" s="86"/>
      <c r="K16" s="87"/>
      <c r="L16" s="109"/>
      <c r="M16" s="88"/>
      <c r="N16" s="80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>
      <c r="A17" s="184"/>
      <c r="B17" s="108"/>
      <c r="C17" s="107"/>
      <c r="D17" s="216" t="s">
        <v>123</v>
      </c>
      <c r="E17" s="217"/>
      <c r="F17" s="217"/>
      <c r="G17" s="218"/>
      <c r="H17" s="85"/>
      <c r="I17" s="86"/>
      <c r="J17" s="86"/>
      <c r="K17" s="87"/>
      <c r="L17" s="109"/>
      <c r="M17" s="88"/>
      <c r="N17" s="79" t="s">
        <v>94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 thickBot="1">
      <c r="A18" s="184"/>
      <c r="B18" s="94"/>
      <c r="C18" s="73"/>
      <c r="D18" s="216" t="s">
        <v>122</v>
      </c>
      <c r="E18" s="217"/>
      <c r="F18" s="217"/>
      <c r="G18" s="218"/>
      <c r="H18" s="85"/>
      <c r="I18" s="86"/>
      <c r="J18" s="86"/>
      <c r="K18" s="87"/>
      <c r="L18" s="109"/>
      <c r="M18" s="88"/>
      <c r="O18" s="79" t="s">
        <v>94</v>
      </c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</row>
    <row r="19" spans="1:32" s="17" customFormat="1" ht="13.5" customHeight="1">
      <c r="A19" s="165" t="s">
        <v>60</v>
      </c>
      <c r="B19" s="234" t="s">
        <v>81</v>
      </c>
      <c r="C19" s="235"/>
      <c r="D19" s="235"/>
      <c r="E19" s="235"/>
      <c r="F19" s="235"/>
      <c r="G19" s="236"/>
      <c r="H19" s="25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7"/>
    </row>
    <row r="20" spans="1:32" s="17" customFormat="1" ht="13.5" customHeight="1">
      <c r="A20" s="166"/>
      <c r="B20" s="172"/>
      <c r="C20" s="170" t="s">
        <v>82</v>
      </c>
      <c r="D20" s="171"/>
      <c r="E20" s="171"/>
      <c r="F20" s="171"/>
      <c r="G20" s="215"/>
      <c r="H20" s="81"/>
      <c r="I20" s="84"/>
      <c r="J20" s="84"/>
      <c r="K20" s="84"/>
      <c r="L20" s="84"/>
      <c r="M20" s="84"/>
      <c r="N20" s="8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166"/>
      <c r="B21" s="172"/>
      <c r="C21" s="76"/>
      <c r="D21" s="170" t="s">
        <v>83</v>
      </c>
      <c r="E21" s="171"/>
      <c r="F21" s="171"/>
      <c r="G21" s="215"/>
      <c r="H21" s="81" t="s">
        <v>94</v>
      </c>
      <c r="I21" s="84"/>
      <c r="J21" s="79" t="s">
        <v>94</v>
      </c>
      <c r="K21" s="84"/>
      <c r="L21" s="84"/>
      <c r="M21" s="84"/>
      <c r="N21" s="8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166"/>
      <c r="B22" s="172"/>
      <c r="C22" s="170" t="s">
        <v>84</v>
      </c>
      <c r="D22" s="171"/>
      <c r="E22" s="171"/>
      <c r="F22" s="171"/>
      <c r="G22" s="215"/>
      <c r="H22" s="81"/>
      <c r="I22" s="84"/>
      <c r="J22" s="84"/>
      <c r="K22" s="84"/>
      <c r="L22" s="84"/>
      <c r="M22" s="84"/>
      <c r="N22" s="8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>
      <c r="A23" s="166"/>
      <c r="B23" s="172"/>
      <c r="C23" s="71"/>
      <c r="D23" s="170" t="s">
        <v>85</v>
      </c>
      <c r="E23" s="171"/>
      <c r="F23" s="171"/>
      <c r="G23" s="215"/>
      <c r="H23" s="81" t="s">
        <v>94</v>
      </c>
      <c r="I23" s="79" t="s">
        <v>94</v>
      </c>
      <c r="J23" s="79" t="s">
        <v>94</v>
      </c>
      <c r="K23" s="84"/>
      <c r="L23" s="84"/>
      <c r="M23" s="84"/>
      <c r="N23" s="8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13.5" customHeight="1">
      <c r="A24" s="166"/>
      <c r="B24" s="172"/>
      <c r="C24" s="170" t="s">
        <v>86</v>
      </c>
      <c r="D24" s="171"/>
      <c r="E24" s="171"/>
      <c r="F24" s="171"/>
      <c r="G24" s="215"/>
      <c r="H24" s="81"/>
      <c r="I24" s="84"/>
      <c r="J24" s="84"/>
      <c r="K24" s="84"/>
      <c r="L24" s="84"/>
      <c r="M24" s="84"/>
      <c r="N24" s="8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5"/>
    </row>
    <row r="25" spans="1:32" s="17" customFormat="1" ht="13.5" customHeight="1">
      <c r="A25" s="166"/>
      <c r="B25" s="172"/>
      <c r="C25" s="71"/>
      <c r="D25" s="170" t="s">
        <v>87</v>
      </c>
      <c r="E25" s="171"/>
      <c r="F25" s="171"/>
      <c r="G25" s="215"/>
      <c r="H25" s="81"/>
      <c r="I25" s="79" t="s">
        <v>94</v>
      </c>
      <c r="J25" s="84"/>
      <c r="K25" s="84"/>
      <c r="L25" s="83"/>
      <c r="M25" s="84"/>
      <c r="N25" s="8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5"/>
    </row>
    <row r="26" spans="1:32" s="17" customFormat="1" ht="13.5" customHeight="1">
      <c r="A26" s="166"/>
      <c r="B26" s="172"/>
      <c r="C26" s="71"/>
      <c r="D26" s="170" t="s">
        <v>88</v>
      </c>
      <c r="E26" s="171"/>
      <c r="F26" s="171"/>
      <c r="G26" s="215"/>
      <c r="H26" s="81"/>
      <c r="I26" s="84"/>
      <c r="J26" s="84"/>
      <c r="K26" s="79" t="s">
        <v>94</v>
      </c>
      <c r="L26" s="83"/>
      <c r="M26" s="84"/>
      <c r="N26" s="8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5"/>
    </row>
    <row r="27" spans="1:32" s="17" customFormat="1" ht="13.5" customHeight="1">
      <c r="A27" s="166"/>
      <c r="B27" s="172"/>
      <c r="C27" s="170" t="s">
        <v>89</v>
      </c>
      <c r="D27" s="171"/>
      <c r="E27" s="171"/>
      <c r="F27" s="171"/>
      <c r="G27" s="215"/>
      <c r="H27" s="82"/>
      <c r="I27" s="80"/>
      <c r="J27" s="80"/>
      <c r="K27" s="80"/>
      <c r="L27" s="80"/>
      <c r="M27" s="80"/>
      <c r="N27" s="80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5"/>
    </row>
    <row r="28" spans="1:32" s="17" customFormat="1" ht="13.5" customHeight="1">
      <c r="A28" s="166"/>
      <c r="B28" s="172"/>
      <c r="C28" s="71"/>
      <c r="D28" s="170" t="s">
        <v>90</v>
      </c>
      <c r="E28" s="171"/>
      <c r="F28" s="171"/>
      <c r="G28" s="215"/>
      <c r="H28" s="89"/>
      <c r="I28" s="90"/>
      <c r="J28"/>
      <c r="K28" s="83"/>
      <c r="L28" s="79" t="s">
        <v>94</v>
      </c>
      <c r="M28" s="90"/>
      <c r="N28" s="90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5"/>
    </row>
    <row r="29" spans="1:32" s="17" customFormat="1" ht="13.5" customHeight="1">
      <c r="A29" s="166"/>
      <c r="B29" s="172"/>
      <c r="C29" s="170" t="s">
        <v>91</v>
      </c>
      <c r="D29" s="171"/>
      <c r="E29" s="171"/>
      <c r="F29" s="171"/>
      <c r="G29" s="171"/>
      <c r="H29" s="80"/>
      <c r="I29" s="80"/>
      <c r="J29" s="80"/>
      <c r="K29" s="80"/>
      <c r="L29" s="80"/>
      <c r="M29" s="80"/>
      <c r="N29" s="80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5"/>
    </row>
    <row r="30" spans="1:32" s="17" customFormat="1" ht="13.5" customHeight="1">
      <c r="A30" s="166"/>
      <c r="B30" s="172"/>
      <c r="C30" s="71"/>
      <c r="D30" s="170" t="s">
        <v>92</v>
      </c>
      <c r="E30" s="171"/>
      <c r="F30" s="171"/>
      <c r="G30" s="171"/>
      <c r="H30" s="80"/>
      <c r="I30" s="80"/>
      <c r="J30" s="80"/>
      <c r="K30" s="83"/>
      <c r="L30" s="84"/>
      <c r="M30" s="79" t="s">
        <v>94</v>
      </c>
      <c r="N30" s="80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5"/>
    </row>
    <row r="31" spans="1:32" s="17" customFormat="1" ht="13.5" customHeight="1" thickBot="1">
      <c r="A31" s="166"/>
      <c r="B31" s="77"/>
      <c r="C31" s="225" t="s">
        <v>93</v>
      </c>
      <c r="D31" s="226"/>
      <c r="E31" s="226"/>
      <c r="F31" s="226"/>
      <c r="G31" s="227"/>
      <c r="H31" s="91"/>
      <c r="I31" s="92"/>
      <c r="J31" s="92"/>
      <c r="K31"/>
      <c r="L31" s="88"/>
      <c r="M31" s="93"/>
      <c r="N31" s="79" t="s">
        <v>94</v>
      </c>
      <c r="O31" s="79" t="s">
        <v>94</v>
      </c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5"/>
    </row>
    <row r="32" spans="1:32" s="17" customFormat="1" ht="24" customHeight="1">
      <c r="A32" s="175" t="s">
        <v>61</v>
      </c>
      <c r="B32" s="177"/>
      <c r="C32" s="178"/>
      <c r="D32" s="178"/>
      <c r="E32" s="178"/>
      <c r="F32" s="179"/>
      <c r="G32" s="35" t="s">
        <v>43</v>
      </c>
      <c r="H32" s="36" t="s">
        <v>96</v>
      </c>
      <c r="I32" s="37" t="s">
        <v>96</v>
      </c>
      <c r="J32" s="37" t="s">
        <v>96</v>
      </c>
      <c r="K32" s="37" t="s">
        <v>96</v>
      </c>
      <c r="L32" s="37" t="s">
        <v>96</v>
      </c>
      <c r="M32" s="37" t="s">
        <v>96</v>
      </c>
      <c r="N32" s="37" t="s">
        <v>97</v>
      </c>
      <c r="O32" s="37" t="s">
        <v>124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8"/>
    </row>
    <row r="33" spans="1:32" s="17" customFormat="1" ht="27" customHeight="1">
      <c r="A33" s="176"/>
      <c r="B33" s="180"/>
      <c r="C33" s="181"/>
      <c r="D33" s="181"/>
      <c r="E33" s="181"/>
      <c r="F33" s="182"/>
      <c r="G33" s="39" t="s">
        <v>44</v>
      </c>
      <c r="H33" s="40" t="s">
        <v>98</v>
      </c>
      <c r="I33" s="40" t="s">
        <v>98</v>
      </c>
      <c r="J33" s="40" t="s">
        <v>98</v>
      </c>
      <c r="K33" s="40" t="s">
        <v>98</v>
      </c>
      <c r="L33" s="40" t="s">
        <v>98</v>
      </c>
      <c r="M33" s="40" t="s">
        <v>98</v>
      </c>
      <c r="N33" s="40" t="s">
        <v>98</v>
      </c>
      <c r="O33" s="106" t="s">
        <v>125</v>
      </c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2"/>
    </row>
    <row r="34" spans="1:32" s="17" customFormat="1" ht="27" customHeight="1">
      <c r="A34" s="176"/>
      <c r="B34" s="180"/>
      <c r="C34" s="181"/>
      <c r="D34" s="181"/>
      <c r="E34" s="181"/>
      <c r="F34" s="182"/>
      <c r="G34" s="39" t="s">
        <v>45</v>
      </c>
      <c r="H34" s="43">
        <v>43701</v>
      </c>
      <c r="I34" s="43">
        <v>43701</v>
      </c>
      <c r="J34" s="43">
        <v>43701</v>
      </c>
      <c r="K34" s="43">
        <v>43701</v>
      </c>
      <c r="L34" s="43">
        <v>43701</v>
      </c>
      <c r="M34" s="43">
        <v>43701</v>
      </c>
      <c r="N34" s="43">
        <v>43701</v>
      </c>
      <c r="O34" s="44">
        <v>43705</v>
      </c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5"/>
    </row>
    <row r="35" spans="1:32" s="17" customFormat="1" ht="24.75" customHeight="1">
      <c r="A35" s="176"/>
      <c r="B35" s="180"/>
      <c r="C35" s="181"/>
      <c r="D35" s="181"/>
      <c r="E35" s="181"/>
      <c r="F35" s="182"/>
      <c r="G35" s="46" t="s">
        <v>46</v>
      </c>
      <c r="H35" s="40" t="s">
        <v>99</v>
      </c>
      <c r="I35" s="40" t="s">
        <v>99</v>
      </c>
      <c r="J35" s="40" t="s">
        <v>99</v>
      </c>
      <c r="K35" s="40" t="s">
        <v>99</v>
      </c>
      <c r="L35" s="40" t="s">
        <v>99</v>
      </c>
      <c r="M35" s="40" t="s">
        <v>99</v>
      </c>
      <c r="N35" s="40" t="s">
        <v>99</v>
      </c>
      <c r="O35" s="106" t="s">
        <v>126</v>
      </c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2"/>
    </row>
    <row r="36" spans="1:32" s="17" customFormat="1" ht="24.75" customHeight="1">
      <c r="A36" s="209" t="s">
        <v>62</v>
      </c>
      <c r="B36" s="211" t="s">
        <v>47</v>
      </c>
      <c r="C36" s="211"/>
      <c r="D36" s="211"/>
      <c r="E36" s="211"/>
      <c r="F36" s="212" t="e">
        <f ca="1">GetBugSheetName()</f>
        <v>#NAME?</v>
      </c>
      <c r="G36" s="213"/>
      <c r="H36" s="60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4"/>
    </row>
    <row r="37" spans="1:32" s="17" customFormat="1" ht="36" customHeight="1" thickBot="1">
      <c r="A37" s="210"/>
      <c r="B37" s="200" t="s">
        <v>48</v>
      </c>
      <c r="C37" s="201"/>
      <c r="D37" s="201"/>
      <c r="E37" s="202"/>
      <c r="F37" s="200"/>
      <c r="G37" s="214"/>
      <c r="H37" s="61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 t="str">
        <f t="shared" ref="S37:AF37" si="0">IF(S36="","",(SUM(LEN(S36)-LEN(SUBSTITUTE(S36,",","")))/LEN(",")) + 1 )</f>
        <v/>
      </c>
      <c r="T37" s="55" t="str">
        <f t="shared" si="0"/>
        <v/>
      </c>
      <c r="U37" s="55" t="str">
        <f t="shared" si="0"/>
        <v/>
      </c>
      <c r="V37" s="55" t="str">
        <f t="shared" si="0"/>
        <v/>
      </c>
      <c r="W37" s="55" t="str">
        <f t="shared" si="0"/>
        <v/>
      </c>
      <c r="X37" s="55" t="str">
        <f t="shared" si="0"/>
        <v/>
      </c>
      <c r="Y37" s="55" t="str">
        <f t="shared" si="0"/>
        <v/>
      </c>
      <c r="Z37" s="55" t="str">
        <f t="shared" si="0"/>
        <v/>
      </c>
      <c r="AA37" s="55" t="str">
        <f t="shared" si="0"/>
        <v/>
      </c>
      <c r="AB37" s="55" t="str">
        <f t="shared" si="0"/>
        <v/>
      </c>
      <c r="AC37" s="55" t="str">
        <f t="shared" si="0"/>
        <v/>
      </c>
      <c r="AD37" s="55" t="str">
        <f t="shared" si="0"/>
        <v/>
      </c>
      <c r="AE37" s="55" t="str">
        <f t="shared" si="0"/>
        <v/>
      </c>
      <c r="AF37" s="56" t="str">
        <f t="shared" si="0"/>
        <v/>
      </c>
    </row>
    <row r="38" spans="1:32" s="17" customFormat="1">
      <c r="H38" s="47"/>
      <c r="I38" s="47"/>
      <c r="J38" s="47"/>
      <c r="K38" s="47"/>
      <c r="L38" s="47"/>
      <c r="M38" s="47"/>
      <c r="N38" s="48"/>
      <c r="O38" s="49"/>
      <c r="P38" s="47"/>
      <c r="Q38" s="47"/>
      <c r="R38" s="47"/>
      <c r="S38" s="47"/>
      <c r="T38" s="47"/>
      <c r="U38" s="47"/>
      <c r="V38" s="47"/>
    </row>
  </sheetData>
  <sheetProtection insertRows="0"/>
  <protectedRanges>
    <protectedRange sqref="B1:O2 P2 T1 AC1:AF2" name="Range1_1"/>
    <protectedRange sqref="N32:AF32 H33:AF36" name="Range3_1_1"/>
    <protectedRange sqref="H4:AF4 H19:AF19 P5:AF18 O5:O17 P31:AF31 O20:AF30" name="Range2_1_1"/>
    <protectedRange sqref="C18:G18 C4:G15 B4:B18 D17:G17" name="Range2_1_2"/>
    <protectedRange sqref="C16:G16 C17" name="Range2_1_1_1"/>
    <protectedRange sqref="B31 B19:G30" name="Range2_1_2_1"/>
    <protectedRange sqref="C31:G31" name="Range2_1_2_1_1"/>
    <protectedRange sqref="L14 H5 H7:H13 I5:I7 I9:I13 J5:J9 J11:J13 H14:I18 K5:L13 J15:J18 O18 M5:M18 N5:N17 O31" name="Range2_1_2_2"/>
    <protectedRange sqref="J29:J31 L21:L24 K29 J21:K27 L27:L31 H21:I31 M21:N31 H20:N20" name="Range2_1_2_3"/>
    <protectedRange sqref="H32:M32" name="Range3_1_2"/>
  </protectedRanges>
  <mergeCells count="54">
    <mergeCell ref="D18:G18"/>
    <mergeCell ref="A32:A35"/>
    <mergeCell ref="B32:F32"/>
    <mergeCell ref="B20:B30"/>
    <mergeCell ref="C20:G20"/>
    <mergeCell ref="D21:G21"/>
    <mergeCell ref="C22:G22"/>
    <mergeCell ref="D23:G23"/>
    <mergeCell ref="C24:G24"/>
    <mergeCell ref="D25:G25"/>
    <mergeCell ref="D26:G26"/>
    <mergeCell ref="C27:G27"/>
    <mergeCell ref="AA1:AB1"/>
    <mergeCell ref="AC1:AF1"/>
    <mergeCell ref="AC2:AF2"/>
    <mergeCell ref="A4:A18"/>
    <mergeCell ref="B4:G4"/>
    <mergeCell ref="B5:G5"/>
    <mergeCell ref="P2:Z2"/>
    <mergeCell ref="AA2:AB2"/>
    <mergeCell ref="T1:Z1"/>
    <mergeCell ref="F2:H2"/>
    <mergeCell ref="B1:E1"/>
    <mergeCell ref="F1:O1"/>
    <mergeCell ref="B2:E2"/>
    <mergeCell ref="I2:O2"/>
    <mergeCell ref="P1:S1"/>
    <mergeCell ref="D13:G13"/>
    <mergeCell ref="D30:G30"/>
    <mergeCell ref="C31:G31"/>
    <mergeCell ref="A36:A37"/>
    <mergeCell ref="B36:E36"/>
    <mergeCell ref="F36:G36"/>
    <mergeCell ref="B37:E37"/>
    <mergeCell ref="F37:G37"/>
    <mergeCell ref="B35:F35"/>
    <mergeCell ref="A19:A31"/>
    <mergeCell ref="B19:G19"/>
    <mergeCell ref="D28:G28"/>
    <mergeCell ref="D17:G17"/>
    <mergeCell ref="C14:G14"/>
    <mergeCell ref="B33:F33"/>
    <mergeCell ref="B34:F34"/>
    <mergeCell ref="B6:B15"/>
    <mergeCell ref="C6:G6"/>
    <mergeCell ref="D7:G7"/>
    <mergeCell ref="C8:G8"/>
    <mergeCell ref="D9:G9"/>
    <mergeCell ref="C10:G10"/>
    <mergeCell ref="D11:G11"/>
    <mergeCell ref="C12:G12"/>
    <mergeCell ref="C15:G15"/>
    <mergeCell ref="C16:G16"/>
    <mergeCell ref="C29:G29"/>
  </mergeCells>
  <phoneticPr fontId="3"/>
  <conditionalFormatting sqref="L14 H7:H18 H5 I5:I7 J5:J9 J11:J13 J15:J18 I9:I18 K5:L13 M6:M18 K20:L24 K29 J20:J27 H20:I31 K25:K27 L27:L31 M20:N31 N5:N17">
    <cfRule type="expression" dxfId="57" priority="18" stopIfTrue="1">
      <formula>#REF!="NG"</formula>
    </cfRule>
    <cfRule type="expression" dxfId="56" priority="19" stopIfTrue="1">
      <formula>H$35="NA"</formula>
    </cfRule>
    <cfRule type="expression" dxfId="55" priority="20" stopIfTrue="1">
      <formula>H$35="NG"</formula>
    </cfRule>
  </conditionalFormatting>
  <conditionalFormatting sqref="M5">
    <cfRule type="expression" dxfId="54" priority="15" stopIfTrue="1">
      <formula>#REF!="NG"</formula>
    </cfRule>
    <cfRule type="expression" dxfId="53" priority="16" stopIfTrue="1">
      <formula>M$35="NA"</formula>
    </cfRule>
    <cfRule type="expression" dxfId="52" priority="17" stopIfTrue="1">
      <formula>M$35="NG"</formula>
    </cfRule>
  </conditionalFormatting>
  <conditionalFormatting sqref="M5">
    <cfRule type="expression" dxfId="51" priority="12" stopIfTrue="1">
      <formula>#REF!="NG"</formula>
    </cfRule>
    <cfRule type="expression" dxfId="50" priority="13" stopIfTrue="1">
      <formula>M$35="NA"</formula>
    </cfRule>
    <cfRule type="expression" dxfId="49" priority="14" stopIfTrue="1">
      <formula>M$35="NG"</formula>
    </cfRule>
  </conditionalFormatting>
  <conditionalFormatting sqref="J29:J31">
    <cfRule type="expression" dxfId="48" priority="9" stopIfTrue="1">
      <formula>#REF!="NG"</formula>
    </cfRule>
    <cfRule type="expression" dxfId="47" priority="10" stopIfTrue="1">
      <formula>J$35="NA"</formula>
    </cfRule>
    <cfRule type="expression" dxfId="46" priority="11" stopIfTrue="1">
      <formula>J$35="NG"</formula>
    </cfRule>
  </conditionalFormatting>
  <conditionalFormatting sqref="H32:M32">
    <cfRule type="expression" dxfId="45" priority="6" stopIfTrue="1">
      <formula>#REF!="NG"</formula>
    </cfRule>
    <cfRule type="expression" dxfId="44" priority="7" stopIfTrue="1">
      <formula>H$35="NA"</formula>
    </cfRule>
    <cfRule type="expression" dxfId="43" priority="8" stopIfTrue="1">
      <formula>H$35="NG"</formula>
    </cfRule>
  </conditionalFormatting>
  <conditionalFormatting sqref="N3:O17 P3:AF37 H3:M37 N19:O37">
    <cfRule type="expression" dxfId="42" priority="157" stopIfTrue="1">
      <formula>H$35="NA"</formula>
    </cfRule>
    <cfRule type="expression" dxfId="41" priority="158" stopIfTrue="1">
      <formula>H$35="NG"</formula>
    </cfRule>
  </conditionalFormatting>
  <conditionalFormatting sqref="O18">
    <cfRule type="expression" dxfId="40" priority="162" stopIfTrue="1">
      <formula>#REF!="NG"</formula>
    </cfRule>
    <cfRule type="expression" dxfId="39" priority="163" stopIfTrue="1">
      <formula>N$35="NA"</formula>
    </cfRule>
    <cfRule type="expression" dxfId="38" priority="164" stopIfTrue="1">
      <formula>N$35="NG"</formula>
    </cfRule>
  </conditionalFormatting>
  <conditionalFormatting sqref="O18">
    <cfRule type="expression" dxfId="37" priority="167" stopIfTrue="1">
      <formula>N$35="NA"</formula>
    </cfRule>
    <cfRule type="expression" dxfId="36" priority="168" stopIfTrue="1">
      <formula>N$35="NG"</formula>
    </cfRule>
  </conditionalFormatting>
  <conditionalFormatting sqref="O31">
    <cfRule type="expression" dxfId="35" priority="3" stopIfTrue="1">
      <formula>#REF!="NG"</formula>
    </cfRule>
    <cfRule type="expression" dxfId="34" priority="4" stopIfTrue="1">
      <formula>N$35="NA"</formula>
    </cfRule>
    <cfRule type="expression" dxfId="33" priority="5" stopIfTrue="1">
      <formula>N$35="NG"</formula>
    </cfRule>
  </conditionalFormatting>
  <conditionalFormatting sqref="O31">
    <cfRule type="expression" dxfId="32" priority="1" stopIfTrue="1">
      <formula>N$35="NA"</formula>
    </cfRule>
    <cfRule type="expression" dxfId="31" priority="2" stopIfTrue="1">
      <formula>N$35="NG"</formula>
    </cfRule>
  </conditionalFormatting>
  <dataValidations count="10">
    <dataValidation type="list" allowBlank="1" showInputMessage="1" showErrorMessage="1" sqref="H32:AF32">
      <formula1>"N, A, B"</formula1>
    </dataValidation>
    <dataValidation type="list" allowBlank="1" showInputMessage="1" showErrorMessage="1" sqref="H35:AF35">
      <formula1>"OK, NG, NA, PT"</formula1>
    </dataValidation>
    <dataValidation allowBlank="1" showInputMessage="1" showErrorMessage="1" promptTitle="PCL sheet name" prompt=" " sqref="F36:G36"/>
    <dataValidation allowBlank="1" showInputMessage="1" showErrorMessage="1" promptTitle="Bug ID" prompt="Unique ID throughout the project._x000a_For every Bug found during Test as well as Re-Test, a new Bug ID needs to be entered here (as a comma seperated value)" sqref="B36:E3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5"/>
    <dataValidation allowBlank="1" showInputMessage="1" showErrorMessage="1" promptTitle="Testing Date" prompt="Date on which test was performed in yyyy/mm/dd format" sqref="G34"/>
    <dataValidation allowBlank="1" showInputMessage="1" showErrorMessage="1" promptTitle="Enter" prompt="Name of the person who performed the test" sqref="G33"/>
    <dataValidation allowBlank="1" showInputMessage="1" showErrorMessage="1" promptTitle="Condition Type" prompt="N : Normal _x000a_A : Abnormal _x000a_B : Boundary" sqref="G32"/>
    <dataValidation allowBlank="1" showInputMessage="1" showErrorMessage="1" promptTitle="Check points" prompt="that need / need not be executed" sqref="A19:A31"/>
    <dataValidation allowBlank="1" showInputMessage="1" showErrorMessage="1" promptTitle="Input conditions" prompt="that need to be checked." sqref="A4:A18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36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K16" sqref="K1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1" t="s">
        <v>64</v>
      </c>
      <c r="C1" s="192"/>
      <c r="D1" s="192"/>
      <c r="E1" s="193"/>
      <c r="F1" s="191" t="s">
        <v>119</v>
      </c>
      <c r="G1" s="192"/>
      <c r="H1" s="192"/>
      <c r="I1" s="192"/>
      <c r="J1" s="192"/>
      <c r="K1" s="192"/>
      <c r="L1" s="192"/>
      <c r="M1" s="192"/>
      <c r="N1" s="192"/>
      <c r="O1" s="193"/>
      <c r="P1" s="205" t="s">
        <v>0</v>
      </c>
      <c r="Q1" s="206"/>
      <c r="R1" s="206"/>
      <c r="S1" s="207"/>
      <c r="T1" s="191" t="s">
        <v>66</v>
      </c>
      <c r="U1" s="192"/>
      <c r="V1" s="192"/>
      <c r="W1" s="192"/>
      <c r="X1" s="192"/>
      <c r="Y1" s="192"/>
      <c r="Z1" s="193"/>
      <c r="AA1" s="194" t="s">
        <v>11</v>
      </c>
      <c r="AB1" s="194"/>
      <c r="AC1" s="195">
        <v>43701</v>
      </c>
      <c r="AD1" s="195"/>
      <c r="AE1" s="195"/>
      <c r="AF1" s="196"/>
    </row>
    <row r="2" spans="1:32" ht="20.100000000000001" customHeight="1" thickBot="1">
      <c r="A2" s="64" t="s">
        <v>4</v>
      </c>
      <c r="B2" s="197" t="s">
        <v>67</v>
      </c>
      <c r="C2" s="198"/>
      <c r="D2" s="198"/>
      <c r="E2" s="199"/>
      <c r="F2" s="197" t="s">
        <v>68</v>
      </c>
      <c r="G2" s="198"/>
      <c r="H2" s="199"/>
      <c r="I2" s="200" t="s">
        <v>68</v>
      </c>
      <c r="J2" s="201"/>
      <c r="K2" s="201"/>
      <c r="L2" s="201"/>
      <c r="M2" s="201"/>
      <c r="N2" s="201"/>
      <c r="O2" s="202"/>
      <c r="P2" s="197"/>
      <c r="Q2" s="198"/>
      <c r="R2" s="198"/>
      <c r="S2" s="198"/>
      <c r="T2" s="198"/>
      <c r="U2" s="198"/>
      <c r="V2" s="198"/>
      <c r="W2" s="198"/>
      <c r="X2" s="198"/>
      <c r="Y2" s="198"/>
      <c r="Z2" s="199"/>
      <c r="AA2" s="203" t="s">
        <v>13</v>
      </c>
      <c r="AB2" s="204"/>
      <c r="AC2" s="197" t="s">
        <v>14</v>
      </c>
      <c r="AD2" s="198"/>
      <c r="AE2" s="198"/>
      <c r="AF2" s="208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01">
        <f>IF(COUNTA(H4:H30)&gt;0,1,"")</f>
        <v>1</v>
      </c>
      <c r="I3" s="102">
        <f>IF(COUNTA(I4:I30)&gt;0,IF(H3&gt;0,H3+1,""),"")</f>
        <v>2</v>
      </c>
      <c r="J3" s="102">
        <v>3</v>
      </c>
      <c r="K3" s="102">
        <f t="shared" ref="K3:AF3" si="0">IF(COUNTA(K4:K30)&gt;0,IF(J3&gt;0,J3+1,""),"")</f>
        <v>4</v>
      </c>
      <c r="L3" s="102">
        <f t="shared" si="0"/>
        <v>5</v>
      </c>
      <c r="M3" s="10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3" t="s">
        <v>52</v>
      </c>
      <c r="B4" s="235" t="s">
        <v>69</v>
      </c>
      <c r="C4" s="235"/>
      <c r="D4" s="235"/>
      <c r="E4" s="235"/>
      <c r="F4" s="235"/>
      <c r="G4" s="235"/>
      <c r="H4" s="19"/>
      <c r="I4" s="19"/>
      <c r="J4" s="99"/>
      <c r="K4" s="99"/>
      <c r="L4" s="99"/>
      <c r="M4" s="99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4"/>
      <c r="B5" s="231" t="s">
        <v>107</v>
      </c>
      <c r="C5" s="244"/>
      <c r="D5" s="244"/>
      <c r="E5" s="244"/>
      <c r="F5" s="244"/>
      <c r="G5" s="244"/>
      <c r="H5" s="19"/>
      <c r="I5" s="19"/>
      <c r="J5" s="99"/>
      <c r="K5" s="99"/>
      <c r="L5" s="99"/>
      <c r="M5" s="9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4"/>
      <c r="B6" s="245"/>
      <c r="C6" s="216" t="s">
        <v>70</v>
      </c>
      <c r="D6" s="232"/>
      <c r="E6" s="232"/>
      <c r="F6" s="232"/>
      <c r="G6" s="232"/>
      <c r="H6" s="19"/>
      <c r="I6" s="19"/>
      <c r="J6" s="100"/>
      <c r="K6" s="100"/>
      <c r="L6" s="100"/>
      <c r="M6" s="100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4"/>
      <c r="B7" s="246"/>
      <c r="C7" s="95"/>
      <c r="D7" s="216" t="s">
        <v>71</v>
      </c>
      <c r="E7" s="217"/>
      <c r="F7" s="217"/>
      <c r="G7" s="217"/>
      <c r="H7" s="100" t="s">
        <v>94</v>
      </c>
      <c r="I7" s="100"/>
      <c r="J7" s="100"/>
      <c r="K7" s="100"/>
      <c r="L7" s="104"/>
      <c r="M7" s="104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84"/>
      <c r="B8" s="246"/>
      <c r="C8" s="216" t="s">
        <v>72</v>
      </c>
      <c r="D8" s="232"/>
      <c r="E8" s="232"/>
      <c r="F8" s="232"/>
      <c r="G8" s="232"/>
      <c r="H8" s="100"/>
      <c r="I8" s="100"/>
      <c r="J8" s="100"/>
      <c r="K8" s="100"/>
      <c r="L8" s="104"/>
      <c r="M8" s="104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84"/>
      <c r="B9" s="246"/>
      <c r="C9" s="95"/>
      <c r="D9" s="216" t="s">
        <v>73</v>
      </c>
      <c r="E9" s="217"/>
      <c r="F9" s="217"/>
      <c r="G9" s="217"/>
      <c r="H9" s="100" t="s">
        <v>94</v>
      </c>
      <c r="I9" s="100"/>
      <c r="J9" s="100"/>
      <c r="K9" s="100"/>
      <c r="L9" s="104"/>
      <c r="M9" s="104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>
      <c r="A10" s="184"/>
      <c r="B10" s="246"/>
      <c r="C10" s="248" t="s">
        <v>74</v>
      </c>
      <c r="D10" s="249"/>
      <c r="E10" s="249"/>
      <c r="F10" s="249"/>
      <c r="G10" s="249"/>
      <c r="H10" s="100"/>
      <c r="I10" s="100"/>
      <c r="J10" s="100"/>
      <c r="K10" s="100"/>
      <c r="L10" s="104"/>
      <c r="M10" s="104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184"/>
      <c r="B11" s="246"/>
      <c r="C11" s="96"/>
      <c r="D11" s="216" t="s">
        <v>73</v>
      </c>
      <c r="E11" s="217"/>
      <c r="F11" s="217"/>
      <c r="G11" s="217"/>
      <c r="H11" s="100" t="s">
        <v>94</v>
      </c>
      <c r="I11" s="100"/>
      <c r="J11" s="100"/>
      <c r="K11" s="100"/>
      <c r="L11" s="104"/>
      <c r="M11" s="104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</row>
    <row r="12" spans="1:32" s="17" customFormat="1" ht="13.5" customHeight="1">
      <c r="A12" s="184"/>
      <c r="B12" s="246"/>
      <c r="C12" s="231" t="s">
        <v>102</v>
      </c>
      <c r="D12" s="232"/>
      <c r="E12" s="232"/>
      <c r="F12" s="232"/>
      <c r="G12" s="232"/>
      <c r="H12" s="100" t="s">
        <v>117</v>
      </c>
      <c r="I12" s="100"/>
      <c r="J12" s="100"/>
      <c r="K12" s="100"/>
      <c r="L12" s="104"/>
      <c r="M12" s="104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</row>
    <row r="13" spans="1:32" s="17" customFormat="1" ht="13.5" customHeight="1">
      <c r="A13" s="184"/>
      <c r="B13" s="246"/>
      <c r="C13" s="231" t="s">
        <v>103</v>
      </c>
      <c r="D13" s="232"/>
      <c r="E13" s="232"/>
      <c r="F13" s="232"/>
      <c r="G13" s="232"/>
      <c r="H13" s="100"/>
      <c r="I13" s="100"/>
      <c r="J13" s="100"/>
      <c r="K13" s="100"/>
      <c r="L13" s="104"/>
      <c r="M13" s="104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</row>
    <row r="14" spans="1:32" s="17" customFormat="1" ht="13.5" customHeight="1">
      <c r="A14" s="184"/>
      <c r="B14" s="246"/>
      <c r="C14" s="95"/>
      <c r="D14" s="231" t="s">
        <v>104</v>
      </c>
      <c r="E14" s="232"/>
      <c r="F14" s="232"/>
      <c r="G14" s="232"/>
      <c r="H14" s="100"/>
      <c r="I14" s="100" t="s">
        <v>117</v>
      </c>
      <c r="J14" s="100"/>
      <c r="K14" s="100"/>
      <c r="L14" s="104"/>
      <c r="M14" s="104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</row>
    <row r="15" spans="1:32" s="17" customFormat="1" ht="13.5" customHeight="1">
      <c r="A15" s="184"/>
      <c r="B15" s="246"/>
      <c r="C15" s="97"/>
      <c r="D15" s="231" t="s">
        <v>105</v>
      </c>
      <c r="E15" s="232"/>
      <c r="F15" s="232"/>
      <c r="G15" s="232"/>
      <c r="H15" s="100"/>
      <c r="I15" s="100"/>
      <c r="J15" s="100" t="s">
        <v>117</v>
      </c>
      <c r="K15" s="100"/>
      <c r="L15" s="104"/>
      <c r="M15" s="104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</row>
    <row r="16" spans="1:32" s="17" customFormat="1" ht="13.5" customHeight="1" thickBot="1">
      <c r="A16" s="184"/>
      <c r="B16" s="246"/>
      <c r="C16" s="97"/>
      <c r="D16" s="237" t="s">
        <v>106</v>
      </c>
      <c r="E16" s="238"/>
      <c r="F16" s="238"/>
      <c r="G16" s="238"/>
      <c r="H16" s="100"/>
      <c r="I16" s="100"/>
      <c r="J16" s="100"/>
      <c r="K16" s="100" t="s">
        <v>117</v>
      </c>
      <c r="L16" s="104"/>
      <c r="M16" s="104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</row>
    <row r="17" spans="1:32" s="17" customFormat="1" ht="13.5" customHeight="1" thickBot="1">
      <c r="A17" s="184"/>
      <c r="B17" s="247"/>
      <c r="C17" s="98"/>
      <c r="D17" s="237" t="s">
        <v>131</v>
      </c>
      <c r="E17" s="238"/>
      <c r="F17" s="238"/>
      <c r="G17" s="238"/>
      <c r="H17" s="100"/>
      <c r="I17" s="100"/>
      <c r="J17" s="100"/>
      <c r="L17" s="100" t="s">
        <v>117</v>
      </c>
      <c r="M17" s="104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</row>
    <row r="18" spans="1:32" s="17" customFormat="1" ht="13.5" customHeight="1">
      <c r="A18" s="165" t="s">
        <v>53</v>
      </c>
      <c r="B18" s="234" t="s">
        <v>81</v>
      </c>
      <c r="C18" s="235"/>
      <c r="D18" s="235"/>
      <c r="E18" s="235"/>
      <c r="F18" s="235"/>
      <c r="G18" s="235"/>
      <c r="H18" s="100"/>
      <c r="I18" s="100"/>
      <c r="J18" s="100"/>
      <c r="K18" s="100"/>
      <c r="L18" s="104"/>
      <c r="M18" s="104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7"/>
    </row>
    <row r="19" spans="1:32" s="17" customFormat="1" ht="13.5" customHeight="1">
      <c r="A19" s="166"/>
      <c r="B19" s="245"/>
      <c r="C19" s="242" t="s">
        <v>108</v>
      </c>
      <c r="D19" s="243"/>
      <c r="E19" s="243"/>
      <c r="F19" s="243"/>
      <c r="G19" s="181"/>
      <c r="H19" s="100" t="s">
        <v>117</v>
      </c>
      <c r="I19" s="100"/>
      <c r="J19" s="100"/>
      <c r="K19" s="100"/>
      <c r="L19" s="104"/>
      <c r="M19" s="10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5"/>
    </row>
    <row r="20" spans="1:32" s="17" customFormat="1" ht="13.5" customHeight="1">
      <c r="A20" s="166"/>
      <c r="B20" s="246"/>
      <c r="C20" s="170" t="s">
        <v>109</v>
      </c>
      <c r="D20" s="171"/>
      <c r="E20" s="171"/>
      <c r="F20" s="171"/>
      <c r="G20" s="171"/>
      <c r="H20" s="100"/>
      <c r="I20" s="100"/>
      <c r="J20" s="100"/>
      <c r="K20" s="100"/>
      <c r="L20" s="104"/>
      <c r="M20" s="10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166"/>
      <c r="B21" s="246"/>
      <c r="C21" s="239"/>
      <c r="D21" s="170" t="s">
        <v>110</v>
      </c>
      <c r="E21" s="171"/>
      <c r="F21" s="171"/>
      <c r="G21" s="171"/>
      <c r="H21" s="100"/>
      <c r="I21" s="100" t="s">
        <v>117</v>
      </c>
      <c r="J21" s="100"/>
      <c r="K21" s="100"/>
      <c r="L21" s="104"/>
      <c r="M21" s="10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166"/>
      <c r="B22" s="246"/>
      <c r="C22" s="240"/>
      <c r="D22" s="170" t="s">
        <v>111</v>
      </c>
      <c r="E22" s="171"/>
      <c r="F22" s="171"/>
      <c r="G22" s="171"/>
      <c r="H22" s="100"/>
      <c r="I22" s="100"/>
      <c r="J22" s="100" t="s">
        <v>117</v>
      </c>
      <c r="K22" s="100"/>
      <c r="L22" s="104"/>
      <c r="M22" s="10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>
      <c r="A23" s="166"/>
      <c r="B23" s="246"/>
      <c r="C23" s="240"/>
      <c r="D23" s="170" t="s">
        <v>112</v>
      </c>
      <c r="E23" s="171"/>
      <c r="F23" s="171"/>
      <c r="G23" s="171"/>
      <c r="H23" s="100"/>
      <c r="I23" s="100"/>
      <c r="J23" s="100"/>
      <c r="K23" s="100"/>
      <c r="L23" s="104"/>
      <c r="M23" s="10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13.5" customHeight="1">
      <c r="A24" s="166"/>
      <c r="B24" s="246"/>
      <c r="C24" s="241"/>
      <c r="D24" s="170" t="s">
        <v>127</v>
      </c>
      <c r="E24" s="171"/>
      <c r="F24" s="171"/>
      <c r="G24" s="171"/>
      <c r="H24" s="100"/>
      <c r="I24" s="100"/>
      <c r="J24" s="100"/>
      <c r="K24" s="100" t="s">
        <v>117</v>
      </c>
      <c r="L24" s="104"/>
      <c r="M24" s="10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5"/>
    </row>
    <row r="25" spans="1:32" s="17" customFormat="1" ht="13.5" customHeight="1">
      <c r="A25" s="166"/>
      <c r="B25" s="246"/>
      <c r="C25" s="170" t="s">
        <v>113</v>
      </c>
      <c r="D25" s="171"/>
      <c r="E25" s="171"/>
      <c r="F25" s="171"/>
      <c r="G25" s="171"/>
      <c r="H25" s="100"/>
      <c r="I25" s="100"/>
      <c r="J25" s="100"/>
      <c r="K25" s="100"/>
      <c r="L25" s="104"/>
      <c r="M25" s="10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5"/>
    </row>
    <row r="26" spans="1:32" s="17" customFormat="1" ht="13.5" customHeight="1">
      <c r="A26" s="166"/>
      <c r="B26" s="246"/>
      <c r="C26" s="239"/>
      <c r="D26" s="170" t="s">
        <v>114</v>
      </c>
      <c r="E26" s="171"/>
      <c r="F26" s="171"/>
      <c r="G26" s="171"/>
      <c r="H26" s="100"/>
      <c r="I26" s="100" t="s">
        <v>117</v>
      </c>
      <c r="J26" s="100"/>
      <c r="K26" s="100"/>
      <c r="L26" s="104"/>
      <c r="M26" s="10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5"/>
    </row>
    <row r="27" spans="1:32" s="17" customFormat="1" ht="13.5" customHeight="1">
      <c r="A27" s="166"/>
      <c r="B27" s="246"/>
      <c r="C27" s="240"/>
      <c r="D27" s="170" t="s">
        <v>115</v>
      </c>
      <c r="E27" s="171"/>
      <c r="F27" s="171"/>
      <c r="G27" s="171"/>
      <c r="H27" s="100"/>
      <c r="I27" s="100"/>
      <c r="J27" s="100" t="s">
        <v>117</v>
      </c>
      <c r="K27" s="100"/>
      <c r="L27" s="104"/>
      <c r="M27" s="10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5"/>
    </row>
    <row r="28" spans="1:32" s="17" customFormat="1" ht="13.5" customHeight="1" thickBot="1">
      <c r="A28" s="166"/>
      <c r="B28" s="246"/>
      <c r="C28" s="240"/>
      <c r="D28" s="225" t="s">
        <v>116</v>
      </c>
      <c r="E28" s="226"/>
      <c r="F28" s="226"/>
      <c r="G28" s="226"/>
      <c r="H28" s="100"/>
      <c r="I28" s="100"/>
      <c r="J28" s="100"/>
      <c r="K28" s="100" t="s">
        <v>117</v>
      </c>
      <c r="L28" s="104"/>
      <c r="M28" s="10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5"/>
    </row>
    <row r="29" spans="1:32" s="17" customFormat="1" ht="13.5" customHeight="1" thickBot="1">
      <c r="A29" s="166"/>
      <c r="B29" s="250"/>
      <c r="C29" s="241"/>
      <c r="D29" s="225" t="s">
        <v>128</v>
      </c>
      <c r="E29" s="226"/>
      <c r="F29" s="226"/>
      <c r="G29" s="226"/>
      <c r="H29" s="100"/>
      <c r="I29" s="100"/>
      <c r="J29" s="100"/>
      <c r="L29" s="100" t="s">
        <v>117</v>
      </c>
      <c r="M29" s="10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5"/>
    </row>
    <row r="30" spans="1:32" s="17" customFormat="1" ht="24" customHeight="1">
      <c r="A30" s="175" t="s">
        <v>54</v>
      </c>
      <c r="B30" s="177"/>
      <c r="C30" s="178"/>
      <c r="D30" s="178"/>
      <c r="E30" s="178"/>
      <c r="F30" s="179"/>
      <c r="G30" s="35" t="s">
        <v>43</v>
      </c>
      <c r="H30" s="103" t="s">
        <v>95</v>
      </c>
      <c r="I30" s="103" t="s">
        <v>95</v>
      </c>
      <c r="J30" s="103" t="s">
        <v>95</v>
      </c>
      <c r="K30" s="103" t="s">
        <v>95</v>
      </c>
      <c r="L30" s="103" t="s">
        <v>129</v>
      </c>
      <c r="M30" s="103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8"/>
    </row>
    <row r="31" spans="1:32" s="17" customFormat="1" ht="27" customHeight="1">
      <c r="A31" s="176"/>
      <c r="B31" s="180"/>
      <c r="C31" s="181"/>
      <c r="D31" s="181"/>
      <c r="E31" s="181"/>
      <c r="F31" s="182"/>
      <c r="G31" s="39" t="s">
        <v>44</v>
      </c>
      <c r="H31" s="40" t="s">
        <v>98</v>
      </c>
      <c r="I31" s="40" t="s">
        <v>98</v>
      </c>
      <c r="J31" s="40" t="s">
        <v>98</v>
      </c>
      <c r="K31" s="40" t="s">
        <v>98</v>
      </c>
      <c r="L31" s="106" t="s">
        <v>125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2"/>
    </row>
    <row r="32" spans="1:32" s="17" customFormat="1" ht="27" customHeight="1">
      <c r="A32" s="176"/>
      <c r="B32" s="180"/>
      <c r="C32" s="181"/>
      <c r="D32" s="181"/>
      <c r="E32" s="181"/>
      <c r="F32" s="182"/>
      <c r="G32" s="39" t="s">
        <v>45</v>
      </c>
      <c r="H32" s="43">
        <v>43701</v>
      </c>
      <c r="I32" s="43">
        <v>43701</v>
      </c>
      <c r="J32" s="43">
        <v>43701</v>
      </c>
      <c r="K32" s="43">
        <v>43701</v>
      </c>
      <c r="L32" s="44">
        <v>43705</v>
      </c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5"/>
    </row>
    <row r="33" spans="1:32" s="17" customFormat="1" ht="24.75" customHeight="1">
      <c r="A33" s="176"/>
      <c r="B33" s="180" t="s">
        <v>100</v>
      </c>
      <c r="C33" s="181"/>
      <c r="D33" s="181"/>
      <c r="E33" s="181"/>
      <c r="F33" s="182"/>
      <c r="G33" s="46" t="s">
        <v>1</v>
      </c>
      <c r="H33" s="40" t="s">
        <v>99</v>
      </c>
      <c r="I33" s="41" t="s">
        <v>99</v>
      </c>
      <c r="J33" s="41" t="s">
        <v>99</v>
      </c>
      <c r="K33" s="41" t="s">
        <v>99</v>
      </c>
      <c r="L33" s="106" t="s">
        <v>99</v>
      </c>
      <c r="M33" s="41"/>
      <c r="N33" s="69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2"/>
    </row>
    <row r="34" spans="1:32" s="17" customFormat="1" ht="24.75" customHeight="1">
      <c r="A34" s="209" t="s">
        <v>55</v>
      </c>
      <c r="B34" s="211" t="s">
        <v>47</v>
      </c>
      <c r="C34" s="211"/>
      <c r="D34" s="211"/>
      <c r="E34" s="211"/>
      <c r="F34" s="212" t="s">
        <v>130</v>
      </c>
      <c r="G34" s="213"/>
      <c r="H34" s="60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4"/>
    </row>
    <row r="35" spans="1:32" s="17" customFormat="1" ht="36" customHeight="1" thickBot="1">
      <c r="A35" s="210"/>
      <c r="B35" s="200" t="s">
        <v>31</v>
      </c>
      <c r="C35" s="201"/>
      <c r="D35" s="201"/>
      <c r="E35" s="202"/>
      <c r="F35" s="200"/>
      <c r="G35" s="214"/>
      <c r="H35" s="61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 t="str">
        <f t="shared" ref="S35:AF35" si="1">IF(S34="","",(SUM(LEN(S34)-LEN(SUBSTITUTE(S34,",","")))/LEN(",")) + 1 )</f>
        <v/>
      </c>
      <c r="T35" s="55" t="str">
        <f t="shared" si="1"/>
        <v/>
      </c>
      <c r="U35" s="55" t="str">
        <f t="shared" si="1"/>
        <v/>
      </c>
      <c r="V35" s="55" t="str">
        <f t="shared" si="1"/>
        <v/>
      </c>
      <c r="W35" s="55" t="str">
        <f t="shared" si="1"/>
        <v/>
      </c>
      <c r="X35" s="55" t="str">
        <f t="shared" si="1"/>
        <v/>
      </c>
      <c r="Y35" s="55" t="str">
        <f t="shared" si="1"/>
        <v/>
      </c>
      <c r="Z35" s="55" t="str">
        <f t="shared" si="1"/>
        <v/>
      </c>
      <c r="AA35" s="55" t="str">
        <f t="shared" si="1"/>
        <v/>
      </c>
      <c r="AB35" s="55" t="str">
        <f t="shared" si="1"/>
        <v/>
      </c>
      <c r="AC35" s="55" t="str">
        <f t="shared" si="1"/>
        <v/>
      </c>
      <c r="AD35" s="55" t="str">
        <f t="shared" si="1"/>
        <v/>
      </c>
      <c r="AE35" s="55" t="str">
        <f t="shared" si="1"/>
        <v/>
      </c>
      <c r="AF35" s="56" t="str">
        <f t="shared" si="1"/>
        <v/>
      </c>
    </row>
    <row r="36" spans="1:32" s="17" customFormat="1">
      <c r="H36" s="47"/>
      <c r="I36" s="47"/>
      <c r="J36" s="47"/>
      <c r="K36" s="47"/>
      <c r="L36" s="47"/>
      <c r="M36" s="47"/>
      <c r="N36" s="48"/>
      <c r="O36" s="49"/>
      <c r="P36" s="47"/>
      <c r="Q36" s="47"/>
      <c r="R36" s="47"/>
      <c r="S36" s="47"/>
      <c r="T36" s="47"/>
      <c r="U36" s="47"/>
      <c r="V36" s="47"/>
    </row>
  </sheetData>
  <sheetProtection insertRows="0"/>
  <protectedRanges>
    <protectedRange sqref="B1:O2 P2 T1 AC1:AF2" name="Range1_1"/>
    <protectedRange sqref="H30:AF34" name="Range3_1_1"/>
    <protectedRange sqref="N4:AF29 H4:I6" name="Range2_1_1"/>
    <protectedRange sqref="B12:G12 B4:G6 B10:G10 B7:C7 B9:C9 B11:C11 B13:B17" name="Range2_1_1_2"/>
    <protectedRange sqref="B8:G8" name="Range2_1_1_1_1"/>
    <protectedRange sqref="D7:G7" name="Range2_1_2"/>
    <protectedRange sqref="D9:G9" name="Range2_1_2_1"/>
    <protectedRange sqref="D11:G11" name="Range2_1_2_2"/>
    <protectedRange sqref="C13:G17" name="Range2_1_1_2_1"/>
    <protectedRange sqref="B19:B29 B18:G18" name="Range2_1_1_2_2"/>
    <protectedRange sqref="D19:G19" name="Range2_1_8_1"/>
    <protectedRange sqref="C20:G29" name="Range2_1_1_3"/>
    <protectedRange sqref="H7:K7 J4:M6 H9:J29 L29 L17 K9:K16 K18:K28" name="Range2_1_1_2_3"/>
    <protectedRange sqref="H8:K8" name="Range2_1_1_1_1_1"/>
  </protectedRanges>
  <mergeCells count="54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18:A29"/>
    <mergeCell ref="B18:G18"/>
    <mergeCell ref="A4:A17"/>
    <mergeCell ref="B4:G4"/>
    <mergeCell ref="B5:G5"/>
    <mergeCell ref="B6:B17"/>
    <mergeCell ref="C6:G6"/>
    <mergeCell ref="D7:G7"/>
    <mergeCell ref="C8:G8"/>
    <mergeCell ref="D9:G9"/>
    <mergeCell ref="C10:G10"/>
    <mergeCell ref="D11:G11"/>
    <mergeCell ref="C12:G12"/>
    <mergeCell ref="C13:G13"/>
    <mergeCell ref="D14:G14"/>
    <mergeCell ref="B19:B29"/>
    <mergeCell ref="A34:A35"/>
    <mergeCell ref="B34:E34"/>
    <mergeCell ref="F34:G34"/>
    <mergeCell ref="B35:E35"/>
    <mergeCell ref="F35:G35"/>
    <mergeCell ref="A30:A33"/>
    <mergeCell ref="B30:F30"/>
    <mergeCell ref="B31:F31"/>
    <mergeCell ref="B32:F32"/>
    <mergeCell ref="B33:F33"/>
    <mergeCell ref="D15:G15"/>
    <mergeCell ref="D16:G16"/>
    <mergeCell ref="D23:G23"/>
    <mergeCell ref="D28:G28"/>
    <mergeCell ref="C25:G25"/>
    <mergeCell ref="C26:C29"/>
    <mergeCell ref="D26:G26"/>
    <mergeCell ref="D27:G27"/>
    <mergeCell ref="D29:G29"/>
    <mergeCell ref="C19:G19"/>
    <mergeCell ref="C20:G20"/>
    <mergeCell ref="C21:C24"/>
    <mergeCell ref="D21:G21"/>
    <mergeCell ref="D22:G22"/>
    <mergeCell ref="D24:G24"/>
    <mergeCell ref="D17:G17"/>
  </mergeCells>
  <phoneticPr fontId="3"/>
  <conditionalFormatting sqref="H8:K8">
    <cfRule type="expression" dxfId="22" priority="36" stopIfTrue="1">
      <formula>#REF!="NG"</formula>
    </cfRule>
    <cfRule type="expression" dxfId="21" priority="37" stopIfTrue="1">
      <formula>J$34="NA"</formula>
    </cfRule>
    <cfRule type="expression" dxfId="20" priority="38" stopIfTrue="1">
      <formula>J$34="NG"</formula>
    </cfRule>
  </conditionalFormatting>
  <conditionalFormatting sqref="H19:H29 I21 J22:J23 I26 J27:J28 J4:M6 H7:J18 K18:K28 K7:K16 L17">
    <cfRule type="expression" dxfId="19" priority="33" stopIfTrue="1">
      <formula>#REF!="NG"</formula>
    </cfRule>
    <cfRule type="expression" dxfId="18" priority="34" stopIfTrue="1">
      <formula>#REF!="NA"</formula>
    </cfRule>
    <cfRule type="expression" dxfId="17" priority="35" stopIfTrue="1">
      <formula>#REF!="NG"</formula>
    </cfRule>
  </conditionalFormatting>
  <conditionalFormatting sqref="H8:K8">
    <cfRule type="expression" dxfId="16" priority="24" stopIfTrue="1">
      <formula>#REF!="NG"</formula>
    </cfRule>
    <cfRule type="expression" dxfId="15" priority="25" stopIfTrue="1">
      <formula>J$32="NA"</formula>
    </cfRule>
    <cfRule type="expression" dxfId="14" priority="26" stopIfTrue="1">
      <formula>J$32="NG"</formula>
    </cfRule>
  </conditionalFormatting>
  <conditionalFormatting sqref="H7:K7 J4:M6 H9:J29 K18:K28 K9:K16 L17">
    <cfRule type="expression" dxfId="13" priority="194" stopIfTrue="1">
      <formula>#REF!="NG"</formula>
    </cfRule>
    <cfRule type="expression" dxfId="12" priority="195" stopIfTrue="1">
      <formula>#REF!="NA"</formula>
    </cfRule>
    <cfRule type="expression" dxfId="11" priority="196" stopIfTrue="1">
      <formula>#REF!="NG"</formula>
    </cfRule>
  </conditionalFormatting>
  <conditionalFormatting sqref="N3:AF35 H3:M6 H30:M35">
    <cfRule type="expression" dxfId="10" priority="789" stopIfTrue="1">
      <formula>H$33="NA"</formula>
    </cfRule>
    <cfRule type="expression" dxfId="9" priority="790" stopIfTrue="1">
      <formula>H$33="NG"</formula>
    </cfRule>
  </conditionalFormatting>
  <conditionalFormatting sqref="H7:J29 K18:K28 K7:K16">
    <cfRule type="expression" dxfId="8" priority="811" stopIfTrue="1">
      <formula>J$33="NA"</formula>
    </cfRule>
    <cfRule type="expression" dxfId="7" priority="812" stopIfTrue="1">
      <formula>J$33="NG"</formula>
    </cfRule>
  </conditionalFormatting>
  <conditionalFormatting sqref="L29">
    <cfRule type="expression" dxfId="6" priority="6" stopIfTrue="1">
      <formula>#REF!="NG"</formula>
    </cfRule>
    <cfRule type="expression" dxfId="5" priority="7" stopIfTrue="1">
      <formula>#REF!="NA"</formula>
    </cfRule>
    <cfRule type="expression" dxfId="4" priority="8" stopIfTrue="1">
      <formula>#REF!="NG"</formula>
    </cfRule>
  </conditionalFormatting>
  <conditionalFormatting sqref="L29">
    <cfRule type="expression" dxfId="3" priority="1" stopIfTrue="1">
      <formula>N$33="NA"</formula>
    </cfRule>
    <cfRule type="expression" dxfId="2" priority="2" stopIfTrue="1">
      <formula>N$33="NG"</formula>
    </cfRule>
  </conditionalFormatting>
  <conditionalFormatting sqref="L17">
    <cfRule type="expression" dxfId="1" priority="857" stopIfTrue="1">
      <formula>M$33="NA"</formula>
    </cfRule>
    <cfRule type="expression" dxfId="0" priority="858" stopIfTrue="1">
      <formula>M$33="NG"</formula>
    </cfRule>
  </conditionalFormatting>
  <dataValidations count="10">
    <dataValidation allowBlank="1" showInputMessage="1" showErrorMessage="1" promptTitle="Condition Type" prompt="N : Normal _x000a_A : Abnormal _x000a_B : Boundary" sqref="G30"/>
    <dataValidation allowBlank="1" showInputMessage="1" showErrorMessage="1" promptTitle="Enter" prompt="Name of the person who performed the test" sqref="G31"/>
    <dataValidation allowBlank="1" showInputMessage="1" showErrorMessage="1" promptTitle="Testing Date" prompt="Date on which test was performed in yyyy/mm/dd format" sqref="G32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33"/>
    <dataValidation allowBlank="1" showInputMessage="1" showErrorMessage="1" promptTitle="Bug ID" prompt="Unique ID throughout the project._x000a_For every Bug found during Test as well as Re-Test, a new Bug ID needs to be entered here (as a comma seperated value)" sqref="B34:E34"/>
    <dataValidation allowBlank="1" showInputMessage="1" showErrorMessage="1" promptTitle="PCL sheet name" prompt=" " sqref="F34:G34"/>
    <dataValidation type="list" allowBlank="1" showInputMessage="1" showErrorMessage="1" sqref="H33:AF33">
      <formula1>"OK, NG, NA, PT"</formula1>
    </dataValidation>
    <dataValidation type="list" allowBlank="1" showInputMessage="1" showErrorMessage="1" sqref="H30:AF30">
      <formula1>"N, A, B"</formula1>
    </dataValidation>
    <dataValidation allowBlank="1" showInputMessage="1" showErrorMessage="1" promptTitle="Check points" prompt="that need / need not be executed" sqref="A18:A29"/>
    <dataValidation allowBlank="1" showInputMessage="1" showErrorMessage="1" promptTitle="Input conditions" prompt="that need to be checked." sqref="A4:A17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A3:A132"/>
  <sheetViews>
    <sheetView topLeftCell="A153" workbookViewId="0">
      <selection activeCell="B134" sqref="B134"/>
    </sheetView>
  </sheetViews>
  <sheetFormatPr defaultRowHeight="13.5"/>
  <sheetData>
    <row r="3" spans="1:1">
      <c r="A3" s="105" t="s">
        <v>118</v>
      </c>
    </row>
    <row r="44" spans="1:1">
      <c r="A44" s="105" t="s">
        <v>120</v>
      </c>
    </row>
    <row r="85" spans="1:1">
      <c r="A85" s="105" t="s">
        <v>76</v>
      </c>
    </row>
    <row r="132" spans="1:1">
      <c r="A132" s="105" t="s">
        <v>121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Summary</vt:lpstr>
      <vt:lpstr>Template</vt:lpstr>
      <vt:lpstr>Page_Load</vt:lpstr>
      <vt:lpstr>Download_Click</vt:lpstr>
      <vt:lpstr>Evidence</vt:lpstr>
      <vt:lpstr>Download_Click!BugCount</vt:lpstr>
      <vt:lpstr>Page_Load!BugCount</vt:lpstr>
      <vt:lpstr>BugCount</vt:lpstr>
      <vt:lpstr>Download_Click!BugSheetName</vt:lpstr>
      <vt:lpstr>Page_Load!BugSheetName</vt:lpstr>
      <vt:lpstr>BugSheetName</vt:lpstr>
      <vt:lpstr>NewPCL</vt:lpstr>
      <vt:lpstr>NewPCL_Row</vt:lpstr>
      <vt:lpstr>Download_Click!Print_Area</vt:lpstr>
      <vt:lpstr>Page_Load!Print_Area</vt:lpstr>
      <vt:lpstr>Summary!Print_Area</vt:lpstr>
      <vt:lpstr>Template!Print_Area</vt:lpstr>
      <vt:lpstr>Download_Click!Print_Titles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Download_Click!TestResult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2019-08-29T13:47:24Z</dcterms:modified>
</cp:coreProperties>
</file>