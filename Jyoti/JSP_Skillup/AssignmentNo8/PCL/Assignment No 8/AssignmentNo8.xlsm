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3"/>
  </bookViews>
  <sheets>
    <sheet name="Summary" sheetId="32" r:id="rId1"/>
    <sheet name="Template" sheetId="21" state="hidden" r:id="rId2"/>
    <sheet name="Page_Load" sheetId="71" r:id="rId3"/>
    <sheet name="Upload_Click" sheetId="72" r:id="rId4"/>
    <sheet name="Cancel_Click" sheetId="74" r:id="rId5"/>
    <sheet name="Evidence" sheetId="73" r:id="rId6"/>
  </sheets>
  <functionGroups/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Cancel_Click!$H$14:$AF$14</definedName>
    <definedName name="BugCount" localSheetId="2">Page_Load!$H$28:$AF$28</definedName>
    <definedName name="BugCount" localSheetId="3">Upload_Click!$H$25:$AF$25</definedName>
    <definedName name="BugCount">Template!$H$29:$AF$29</definedName>
    <definedName name="BugSheetName" localSheetId="4">Cancel_Click!$F$13</definedName>
    <definedName name="BugSheetName" localSheetId="2">Page_Load!$F$27</definedName>
    <definedName name="BugSheetName" localSheetId="3">Upload_Click!$F$24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4">Cancel_Click!$A$1:$AF$15</definedName>
    <definedName name="_xlnm.Print_Area" localSheetId="2">Page_Load!$A$1:$AV$42</definedName>
    <definedName name="_xlnm.Print_Area" localSheetId="0">Summary!$A$5:$AM$33</definedName>
    <definedName name="_xlnm.Print_Area" localSheetId="1">Template!$A$1:$AF$30</definedName>
    <definedName name="_xlnm.Print_Area" localSheetId="3">Upload_Click!$A$1:$AO$26</definedName>
    <definedName name="_xlnm.Print_Titles" localSheetId="4">Cancel_Click!$1:$3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_xlnm.Print_Titles" localSheetId="3">Upload_Click!$1:$3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4">Cancel_Click!$G$12</definedName>
    <definedName name="TestResult" localSheetId="2">Page_Load!$G$26</definedName>
    <definedName name="TestResult" localSheetId="3">Upload_Click!$G$23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  <fileRecoveryPr repairLoad="1"/>
</workbook>
</file>

<file path=xl/calcChain.xml><?xml version="1.0" encoding="utf-8"?>
<calcChain xmlns="http://schemas.openxmlformats.org/spreadsheetml/2006/main">
  <c r="AF14" i="74"/>
  <c r="AE14"/>
  <c r="AD14"/>
  <c r="AC14"/>
  <c r="AB14"/>
  <c r="AA14"/>
  <c r="Z14"/>
  <c r="Y14"/>
  <c r="X14"/>
  <c r="W14"/>
  <c r="V14"/>
  <c r="U14"/>
  <c r="T14"/>
  <c r="S14"/>
  <c r="AI12" i="32"/>
  <c r="O12"/>
  <c r="R12"/>
  <c r="U12"/>
  <c r="X12"/>
  <c r="AA12" l="1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25" i="72"/>
  <c r="AE25"/>
  <c r="AD25"/>
  <c r="AC25"/>
  <c r="AB25"/>
  <c r="AA25"/>
  <c r="Z25"/>
  <c r="Y25"/>
  <c r="X25"/>
  <c r="W25"/>
  <c r="V25"/>
  <c r="U25"/>
  <c r="T25"/>
  <c r="S25"/>
  <c r="F24"/>
  <c r="X11" i="32"/>
  <c r="U11"/>
  <c r="K12"/>
  <c r="O11"/>
  <c r="R11"/>
  <c r="AI11"/>
  <c r="AE12" l="1"/>
  <c r="AA11"/>
  <c r="AF3" i="72"/>
  <c r="AE3"/>
  <c r="AD3"/>
  <c r="AC3"/>
  <c r="AB3"/>
  <c r="AA3"/>
  <c r="Z3"/>
  <c r="Y3"/>
  <c r="X3"/>
  <c r="W3"/>
  <c r="V3"/>
  <c r="U3"/>
  <c r="T3"/>
  <c r="S3"/>
  <c r="R3"/>
  <c r="Q3"/>
  <c r="P3"/>
  <c r="H3"/>
  <c r="I3" s="1"/>
  <c r="J3" s="1"/>
  <c r="K3" s="1"/>
  <c r="L3" s="1"/>
  <c r="M3" s="1"/>
  <c r="N3" s="1"/>
  <c r="O3" s="1"/>
  <c r="H3" i="71"/>
  <c r="I3" s="1"/>
  <c r="J3" s="1"/>
  <c r="K3" s="1"/>
  <c r="L3" s="1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28"/>
  <c r="T28"/>
  <c r="U28"/>
  <c r="V28"/>
  <c r="W28"/>
  <c r="X28"/>
  <c r="Y28"/>
  <c r="Z28"/>
  <c r="AA28"/>
  <c r="AB28"/>
  <c r="AC28"/>
  <c r="AD28"/>
  <c r="AE28"/>
  <c r="AF28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U10" i="32"/>
  <c r="R10"/>
  <c r="AI10"/>
  <c r="K10"/>
  <c r="F27" i="71"/>
  <c r="O10" i="32"/>
  <c r="X10"/>
  <c r="K11"/>
  <c r="AE11" l="1"/>
  <c r="AA3"/>
  <c r="AE3" s="1"/>
  <c r="O14"/>
  <c r="AA10"/>
  <c r="AA14" s="1"/>
  <c r="K14"/>
  <c r="R14"/>
  <c r="X14"/>
  <c r="U14"/>
  <c r="AI14"/>
  <c r="U15" l="1"/>
  <c r="AA15"/>
  <c r="R15"/>
  <c r="X15"/>
  <c r="O15"/>
  <c r="AE10"/>
  <c r="AE14" s="1"/>
  <c r="AE15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<sst xmlns="http://schemas.openxmlformats.org/spreadsheetml/2006/main" count="253" uniqueCount="124">
  <si>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</si>
  <si>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</si>
  <si>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</si>
  <si>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</si>
  <si>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</si>
  <si>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</si>
  <si>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</si>
  <si>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</si>
  <si>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</si>
  <si>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</si>
  <si>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</si>
  <si>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</si>
  <si>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</si>
  <si>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</si>
  <si>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</si>
  <si>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</si>
  <si>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</si>
  <si>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</si>
  <si>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</si>
  <si>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</si>
  <si>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</si>
  <si>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</si>
  <si>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</si>
  <si>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</si>
  <si>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</si>
  <si>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</si>
  <si>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</si>
  <si>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</si>
  <si>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</si>
  <si>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</si>
  <si>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</si>
  <si>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</si>
  <si>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</si>
  <si>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</si>
  <si>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</si>
  <si>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</si>
  <si>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</si>
  <si>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</si>
  <si>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</si>
  <si>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</si>
  <si>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</si>
  <si>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</si>
  <si>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</si>
  <si>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</si>
  <si>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</si>
  <si>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</si>
  <si>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</si>
  <si>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</si>
  <si>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</si>
  <si>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</si>
  <si>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</si>
  <si>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</si>
  <si>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</si>
  <si>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</si>
  <si>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</si>
  <si>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</si>
  <si>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</si>
  <si>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</si>
  <si>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</si>
  <si>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</si>
  <si>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</si>
  <si>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</si>
  <si>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</si>
  <si>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</si>
  <si>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Unselected (No File choosen)</t>
    <phoneticPr fontId="3"/>
  </si>
  <si>
    <t>Upload</t>
    <phoneticPr fontId="3"/>
  </si>
  <si>
    <t>Cancel</t>
    <phoneticPr fontId="3"/>
  </si>
  <si>
    <t>UploadToDB.jsp</t>
    <phoneticPr fontId="3"/>
  </si>
  <si>
    <t>Page Title</t>
    <phoneticPr fontId="3"/>
  </si>
  <si>
    <t>Operation Button</t>
    <phoneticPr fontId="3"/>
  </si>
  <si>
    <t>File Description</t>
    <phoneticPr fontId="3"/>
  </si>
  <si>
    <t>File</t>
    <phoneticPr fontId="3"/>
  </si>
  <si>
    <t>○</t>
    <phoneticPr fontId="3"/>
  </si>
  <si>
    <t>○</t>
    <phoneticPr fontId="3"/>
  </si>
  <si>
    <t>○</t>
  </si>
  <si>
    <t>Verification during program execution</t>
    <phoneticPr fontId="3"/>
  </si>
  <si>
    <t>Element</t>
    <phoneticPr fontId="3"/>
  </si>
  <si>
    <t>Mandotary Field</t>
    <phoneticPr fontId="3"/>
  </si>
  <si>
    <t>Clickable</t>
    <phoneticPr fontId="3"/>
  </si>
  <si>
    <t>Visible</t>
    <phoneticPr fontId="3"/>
  </si>
  <si>
    <t>True</t>
    <phoneticPr fontId="3"/>
  </si>
  <si>
    <t>FileUpload</t>
    <phoneticPr fontId="3"/>
  </si>
  <si>
    <t>Upload Files</t>
    <phoneticPr fontId="3"/>
  </si>
  <si>
    <t>B</t>
    <phoneticPr fontId="3"/>
  </si>
  <si>
    <t>N</t>
    <phoneticPr fontId="3"/>
  </si>
  <si>
    <t>N</t>
  </si>
  <si>
    <t>Jyoti</t>
    <phoneticPr fontId="3"/>
  </si>
  <si>
    <t>OK</t>
  </si>
  <si>
    <t>JVS</t>
    <phoneticPr fontId="3"/>
  </si>
  <si>
    <t>Assignment 8</t>
    <phoneticPr fontId="3"/>
  </si>
  <si>
    <t>JSPServletSkillup</t>
    <phoneticPr fontId="3"/>
  </si>
  <si>
    <t>Jyoti Shirahatti</t>
    <phoneticPr fontId="3"/>
  </si>
  <si>
    <t>=GetBugSheetName()</t>
  </si>
  <si>
    <t>Upload_Click</t>
  </si>
  <si>
    <t>Page_load</t>
    <phoneticPr fontId="3"/>
  </si>
  <si>
    <t>Error</t>
    <phoneticPr fontId="3"/>
  </si>
  <si>
    <t>MyFile.pdf</t>
    <phoneticPr fontId="3"/>
  </si>
  <si>
    <t>Upload Button Click</t>
    <phoneticPr fontId="3"/>
  </si>
  <si>
    <t>File was uploaded successfully</t>
    <phoneticPr fontId="3"/>
  </si>
  <si>
    <t>Upload_Click</t>
    <phoneticPr fontId="3"/>
  </si>
  <si>
    <t>File upload successfully</t>
    <phoneticPr fontId="3"/>
  </si>
  <si>
    <t>Cancel_Click</t>
  </si>
  <si>
    <t>JVS</t>
    <phoneticPr fontId="3"/>
  </si>
  <si>
    <t>①Cancel Button Click</t>
    <phoneticPr fontId="3"/>
  </si>
  <si>
    <t>Cancel_Click</t>
    <phoneticPr fontId="3"/>
  </si>
  <si>
    <t>Clear the page</t>
    <phoneticPr fontId="3"/>
  </si>
  <si>
    <t>A</t>
  </si>
  <si>
    <t>jyoti</t>
    <phoneticPr fontId="3"/>
  </si>
  <si>
    <t>Jyoti</t>
    <phoneticPr fontId="3"/>
  </si>
  <si>
    <t>Cancel_Click</t>
    <phoneticPr fontId="3"/>
  </si>
  <si>
    <t>Exception</t>
    <phoneticPr fontId="3"/>
  </si>
  <si>
    <t>Database Connection Exception</t>
    <phoneticPr fontId="3"/>
  </si>
  <si>
    <t>SQL Exception</t>
    <phoneticPr fontId="3"/>
  </si>
  <si>
    <t>Below error message is diaplayed</t>
    <phoneticPr fontId="3"/>
  </si>
  <si>
    <t>Error0001:File Size is long</t>
  </si>
  <si>
    <t>Error0002:File Not Selected</t>
  </si>
  <si>
    <t>Error0003:Error while connecting to database</t>
    <phoneticPr fontId="3"/>
  </si>
  <si>
    <t>Jyoti</t>
    <phoneticPr fontId="3"/>
  </si>
  <si>
    <t>Cancel_Click_</t>
    <phoneticPr fontId="3"/>
  </si>
  <si>
    <t>Exception Occurred</t>
  </si>
  <si>
    <t>Page will be redirected to Error Page</t>
  </si>
  <si>
    <t>Jyoti</t>
    <phoneticPr fontId="3"/>
  </si>
  <si>
    <t>No File Choosen</t>
  </si>
  <si>
    <t>Jyoti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</si>
</sst>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3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9"/>
      <name val="ＭＳ 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</cellStyleXfs>
  <cellXfs count="246">
    <xf numFmtId="0" fontId="0" fillId="0" borderId="0" xfId="0"/>
    <xf numFmtId="49" fontId="10" fillId="0" borderId="0" xfId="5" applyNumberFormat="1" applyFont="1" applyFill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vertical="center"/>
    </xf>
    <xf numFmtId="176" fontId="13" fillId="0" borderId="1" xfId="1" applyNumberFormat="1" applyFont="1" applyFill="1" applyBorder="1" applyAlignment="1">
      <alignment horizontal="center" vertical="center"/>
    </xf>
    <xf numFmtId="176" fontId="13" fillId="0" borderId="1" xfId="1" applyNumberFormat="1" applyFont="1" applyFill="1" applyBorder="1" applyAlignment="1">
      <alignment horizontal="left" vertical="center"/>
    </xf>
    <xf numFmtId="176" fontId="13" fillId="0" borderId="2" xfId="1" applyNumberFormat="1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49" fontId="10" fillId="0" borderId="0" xfId="5" applyNumberFormat="1" applyFont="1" applyFill="1" applyBorder="1">
      <alignment vertical="center"/>
    </xf>
    <xf numFmtId="49" fontId="10" fillId="0" borderId="3" xfId="5" applyNumberFormat="1" applyFont="1" applyFill="1" applyBorder="1" applyAlignment="1"/>
    <xf numFmtId="176" fontId="10" fillId="0" borderId="4" xfId="5" applyNumberFormat="1" applyFont="1" applyFill="1" applyBorder="1" applyAlignment="1">
      <alignment horizontal="center" vertical="center"/>
    </xf>
    <xf numFmtId="176" fontId="10" fillId="0" borderId="5" xfId="5" applyNumberFormat="1" applyFont="1" applyFill="1" applyBorder="1" applyAlignment="1">
      <alignment horizontal="center" vertical="center"/>
    </xf>
    <xf numFmtId="176" fontId="10" fillId="0" borderId="6" xfId="5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5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horizontal="center" vertical="center" wrapText="1"/>
    </xf>
    <xf numFmtId="49" fontId="10" fillId="0" borderId="7" xfId="5" applyNumberFormat="1" applyFont="1" applyFill="1" applyBorder="1" applyAlignment="1">
      <alignment horizontal="center" vertical="center" wrapText="1"/>
    </xf>
    <xf numFmtId="49" fontId="10" fillId="0" borderId="8" xfId="5" applyNumberFormat="1" applyFont="1" applyFill="1" applyBorder="1" applyAlignment="1">
      <alignment horizontal="center" vertical="center" wrapText="1"/>
    </xf>
    <xf numFmtId="49" fontId="10" fillId="0" borderId="9" xfId="5" applyNumberFormat="1" applyFont="1" applyFill="1" applyBorder="1" applyAlignment="1">
      <alignment horizontal="center" vertical="center" wrapText="1"/>
    </xf>
    <xf numFmtId="49" fontId="10" fillId="0" borderId="21" xfId="5" applyNumberFormat="1" applyFont="1" applyFill="1" applyBorder="1" applyAlignment="1">
      <alignment horizontal="center" vertical="center" wrapText="1"/>
    </xf>
    <xf numFmtId="49" fontId="10" fillId="0" borderId="10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10" fillId="0" borderId="12" xfId="5" applyNumberFormat="1" applyFont="1" applyFill="1" applyBorder="1" applyAlignment="1">
      <alignment horizontal="center" vertical="center" wrapText="1"/>
    </xf>
    <xf numFmtId="177" fontId="10" fillId="0" borderId="10" xfId="5" applyNumberFormat="1" applyFont="1" applyFill="1" applyBorder="1" applyAlignment="1">
      <alignment horizontal="center" vertical="center" wrapText="1"/>
    </xf>
    <xf numFmtId="177" fontId="10" fillId="0" borderId="11" xfId="5" applyNumberFormat="1" applyFont="1" applyFill="1" applyBorder="1" applyAlignment="1">
      <alignment horizontal="center" vertical="center" wrapText="1"/>
    </xf>
    <xf numFmtId="177" fontId="10" fillId="0" borderId="12" xfId="5" applyNumberFormat="1" applyFont="1" applyFill="1" applyBorder="1" applyAlignment="1">
      <alignment horizontal="center" vertical="center" wrapText="1"/>
    </xf>
    <xf numFmtId="49" fontId="10" fillId="0" borderId="22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Alignment="1">
      <alignment horizontal="center" vertical="center" wrapText="1"/>
    </xf>
    <xf numFmtId="49" fontId="10" fillId="0" borderId="23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vertical="center" wrapText="1"/>
    </xf>
    <xf numFmtId="49" fontId="10" fillId="0" borderId="0" xfId="5" applyNumberFormat="1" applyFont="1" applyFill="1" applyBorder="1" applyAlignment="1">
      <alignment horizontal="center" vertical="center"/>
    </xf>
    <xf numFmtId="176" fontId="13" fillId="0" borderId="2" xfId="1" applyNumberFormat="1" applyFont="1" applyFill="1" applyBorder="1" applyAlignment="1">
      <alignment horizontal="left" vertical="center"/>
    </xf>
    <xf numFmtId="49" fontId="10" fillId="0" borderId="15" xfId="5" applyNumberFormat="1" applyFont="1" applyFill="1" applyBorder="1" applyAlignment="1">
      <alignment horizontal="center" vertical="center" wrapText="1"/>
    </xf>
    <xf numFmtId="49" fontId="10" fillId="0" borderId="16" xfId="5" applyNumberFormat="1" applyFont="1" applyFill="1" applyBorder="1" applyAlignment="1">
      <alignment horizontal="center" vertical="center" wrapText="1"/>
    </xf>
    <xf numFmtId="0" fontId="10" fillId="0" borderId="18" xfId="5" applyNumberFormat="1" applyFont="1" applyFill="1" applyBorder="1" applyAlignment="1">
      <alignment horizontal="center" vertical="center" wrapText="1"/>
    </xf>
    <xf numFmtId="0" fontId="10" fillId="0" borderId="19" xfId="5" applyNumberFormat="1" applyFont="1" applyFill="1" applyBorder="1" applyAlignment="1">
      <alignment horizontal="center" vertical="center" wrapText="1"/>
    </xf>
    <xf numFmtId="176" fontId="11" fillId="0" borderId="0" xfId="1" applyNumberFormat="1" applyFont="1" applyFill="1" applyBorder="1" applyAlignment="1">
      <alignment horizontal="center" vertical="center"/>
    </xf>
    <xf numFmtId="176" fontId="11" fillId="0" borderId="0" xfId="1" applyNumberFormat="1" applyFont="1" applyFill="1" applyBorder="1" applyAlignment="1">
      <alignment horizontal="left" vertical="center"/>
    </xf>
    <xf numFmtId="0" fontId="11" fillId="0" borderId="0" xfId="1" applyFont="1" applyFill="1" applyAlignment="1">
      <alignment horizontal="center" vertical="center"/>
    </xf>
    <xf numFmtId="49" fontId="10" fillId="0" borderId="14" xfId="5" applyNumberFormat="1" applyFont="1" applyFill="1" applyBorder="1" applyAlignment="1">
      <alignment horizontal="center" vertical="center" wrapText="1"/>
    </xf>
    <xf numFmtId="0" fontId="10" fillId="0" borderId="17" xfId="5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5" applyNumberFormat="1" applyFont="1" applyFill="1" applyBorder="1" applyAlignment="1">
      <alignment vertical="center"/>
    </xf>
    <xf numFmtId="49" fontId="10" fillId="2" borderId="17" xfId="5" applyNumberFormat="1" applyFont="1" applyFill="1" applyBorder="1" applyAlignment="1">
      <alignment vertical="center"/>
    </xf>
    <xf numFmtId="49" fontId="15" fillId="0" borderId="24" xfId="5" applyNumberFormat="1" applyFont="1" applyFill="1" applyBorder="1" applyAlignment="1">
      <alignment horizontal="right" vertical="top" wrapText="1"/>
    </xf>
    <xf numFmtId="49" fontId="20" fillId="0" borderId="4" xfId="5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5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4" fillId="0" borderId="15" xfId="6" applyNumberFormat="1" applyFont="1" applyFill="1" applyBorder="1" applyAlignment="1">
      <alignment horizontal="center" vertical="top" wrapText="1"/>
    </xf>
    <xf numFmtId="49" fontId="14" fillId="0" borderId="10" xfId="6" applyNumberFormat="1" applyFont="1" applyFill="1" applyBorder="1" applyAlignment="1">
      <alignment horizontal="center" vertical="top" wrapText="1"/>
    </xf>
    <xf numFmtId="49" fontId="22" fillId="0" borderId="11" xfId="6" applyNumberFormat="1" applyFont="1" applyFill="1" applyBorder="1" applyAlignment="1">
      <alignment horizontal="center" vertical="center" wrapText="1"/>
    </xf>
    <xf numFmtId="49" fontId="10" fillId="0" borderId="10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49" fontId="14" fillId="0" borderId="11" xfId="6" applyNumberFormat="1" applyFont="1" applyFill="1" applyBorder="1" applyAlignment="1">
      <alignment horizontal="center" vertical="top" wrapText="1"/>
    </xf>
    <xf numFmtId="49" fontId="14" fillId="0" borderId="11" xfId="6" applyNumberFormat="1" applyFont="1" applyFill="1" applyBorder="1" applyAlignment="1">
      <alignment horizontal="center" vertical="center" wrapText="1"/>
    </xf>
    <xf numFmtId="49" fontId="10" fillId="0" borderId="46" xfId="0" applyNumberFormat="1" applyFont="1" applyFill="1" applyBorder="1" applyAlignment="1">
      <alignment horizontal="center" vertical="center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0" fillId="0" borderId="48" xfId="0" applyNumberFormat="1" applyFont="1" applyFill="1" applyBorder="1" applyAlignment="1">
      <alignment horizontal="center" vertical="center" wrapText="1"/>
    </xf>
    <xf numFmtId="49" fontId="10" fillId="0" borderId="7" xfId="6" applyNumberFormat="1" applyFont="1" applyFill="1" applyBorder="1" applyAlignment="1">
      <alignment horizontal="center" vertical="center" wrapText="1"/>
    </xf>
    <xf numFmtId="49" fontId="10" fillId="0" borderId="8" xfId="6" applyNumberFormat="1" applyFont="1" applyFill="1" applyBorder="1" applyAlignment="1">
      <alignment horizontal="center" vertical="center" wrapText="1"/>
    </xf>
    <xf numFmtId="49" fontId="14" fillId="0" borderId="10" xfId="6" applyNumberFormat="1" applyFont="1" applyFill="1" applyBorder="1" applyAlignment="1">
      <alignment horizontal="center" vertical="center" wrapText="1"/>
    </xf>
    <xf numFmtId="49" fontId="14" fillId="0" borderId="42" xfId="6" applyNumberFormat="1" applyFont="1" applyFill="1" applyBorder="1" applyAlignment="1">
      <alignment horizontal="center" vertical="center" wrapText="1"/>
    </xf>
    <xf numFmtId="49" fontId="10" fillId="0" borderId="14" xfId="6" applyNumberFormat="1" applyFont="1" applyFill="1" applyBorder="1" applyAlignment="1">
      <alignment horizontal="center" vertical="center" wrapText="1"/>
    </xf>
    <xf numFmtId="49" fontId="14" fillId="0" borderId="18" xfId="5" applyNumberFormat="1" applyFont="1" applyFill="1" applyBorder="1" applyAlignment="1">
      <alignment vertical="center" wrapText="1"/>
    </xf>
    <xf numFmtId="0" fontId="1" fillId="0" borderId="0" xfId="0" applyFont="1"/>
    <xf numFmtId="49" fontId="14" fillId="0" borderId="47" xfId="0" applyNumberFormat="1" applyFont="1" applyFill="1" applyBorder="1" applyAlignment="1">
      <alignment horizontal="center" vertical="center" wrapText="1"/>
    </xf>
    <xf numFmtId="49" fontId="10" fillId="0" borderId="15" xfId="6" applyNumberFormat="1" applyFont="1" applyFill="1" applyBorder="1" applyAlignment="1">
      <alignment horizontal="center" vertical="top" wrapText="1"/>
    </xf>
    <xf numFmtId="49" fontId="10" fillId="0" borderId="13" xfId="6" applyNumberFormat="1" applyFont="1" applyFill="1" applyBorder="1" applyAlignment="1">
      <alignment horizontal="left" vertical="top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4" fillId="0" borderId="21" xfId="6" applyNumberFormat="1" applyFont="1" applyFill="1" applyBorder="1" applyAlignment="1">
      <alignment horizontal="left" vertical="top" wrapText="1"/>
    </xf>
    <xf numFmtId="49" fontId="14" fillId="0" borderId="47" xfId="6" applyNumberFormat="1" applyFont="1" applyFill="1" applyBorder="1" applyAlignment="1">
      <alignment horizontal="center" vertical="top" wrapText="1"/>
    </xf>
    <xf numFmtId="49" fontId="10" fillId="0" borderId="13" xfId="4" applyNumberFormat="1" applyFont="1" applyFill="1" applyBorder="1" applyAlignment="1">
      <alignment horizontal="left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4" fillId="0" borderId="21" xfId="6" applyNumberFormat="1" applyFont="1" applyFill="1" applyBorder="1" applyAlignment="1">
      <alignment horizontal="left" vertical="top" wrapText="1"/>
    </xf>
    <xf numFmtId="49" fontId="10" fillId="0" borderId="1" xfId="6" applyNumberFormat="1" applyFont="1" applyFill="1" applyBorder="1" applyAlignment="1">
      <alignment horizontal="center" vertical="center" wrapText="1"/>
    </xf>
    <xf numFmtId="49" fontId="22" fillId="0" borderId="0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horizontal="center" vertical="center" wrapText="1"/>
    </xf>
    <xf numFmtId="49" fontId="14" fillId="0" borderId="15" xfId="6" applyNumberFormat="1" applyFont="1" applyFill="1" applyBorder="1" applyAlignment="1">
      <alignment horizontal="center" vertical="center" wrapText="1"/>
    </xf>
    <xf numFmtId="0" fontId="21" fillId="7" borderId="0" xfId="1" applyFont="1" applyFill="1" applyAlignment="1">
      <alignment horizontal="center" vertical="center" wrapText="1"/>
    </xf>
    <xf numFmtId="9" fontId="11" fillId="3" borderId="22" xfId="2" applyNumberFormat="1" applyFont="1" applyFill="1" applyBorder="1" applyAlignment="1">
      <alignment horizontal="center" vertical="center"/>
    </xf>
    <xf numFmtId="9" fontId="11" fillId="3" borderId="1" xfId="2" applyNumberFormat="1" applyFont="1" applyFill="1" applyBorder="1" applyAlignment="1">
      <alignment horizontal="center" vertical="center"/>
    </xf>
    <xf numFmtId="9" fontId="11" fillId="3" borderId="25" xfId="2" applyNumberFormat="1" applyFont="1" applyFill="1" applyBorder="1" applyAlignment="1">
      <alignment horizontal="center" vertical="center"/>
    </xf>
    <xf numFmtId="176" fontId="11" fillId="4" borderId="22" xfId="1" applyNumberFormat="1" applyFont="1" applyFill="1" applyBorder="1" applyAlignment="1">
      <alignment horizontal="center" vertical="center"/>
    </xf>
    <xf numFmtId="176" fontId="11" fillId="4" borderId="1" xfId="1" applyNumberFormat="1" applyFont="1" applyFill="1" applyBorder="1" applyAlignment="1">
      <alignment horizontal="center" vertical="center"/>
    </xf>
    <xf numFmtId="176" fontId="11" fillId="4" borderId="25" xfId="1" applyNumberFormat="1" applyFont="1" applyFill="1" applyBorder="1" applyAlignment="1">
      <alignment horizontal="center" vertical="center"/>
    </xf>
    <xf numFmtId="176" fontId="11" fillId="2" borderId="22" xfId="1" applyNumberFormat="1" applyFont="1" applyFill="1" applyBorder="1" applyAlignment="1">
      <alignment horizontal="center" vertical="center"/>
    </xf>
    <xf numFmtId="176" fontId="11" fillId="2" borderId="1" xfId="1" applyNumberFormat="1" applyFont="1" applyFill="1" applyBorder="1" applyAlignment="1">
      <alignment horizontal="center" vertical="center"/>
    </xf>
    <xf numFmtId="176" fontId="11" fillId="2" borderId="25" xfId="1" applyNumberFormat="1" applyFont="1" applyFill="1" applyBorder="1" applyAlignment="1">
      <alignment horizontal="center" vertical="center"/>
    </xf>
    <xf numFmtId="176" fontId="11" fillId="0" borderId="22" xfId="1" applyNumberFormat="1" applyFont="1" applyBorder="1" applyAlignment="1">
      <alignment horizontal="center" vertical="center"/>
    </xf>
    <xf numFmtId="176" fontId="11" fillId="0" borderId="25" xfId="1" applyNumberFormat="1" applyFont="1" applyBorder="1" applyAlignment="1">
      <alignment horizontal="center" vertical="center"/>
    </xf>
    <xf numFmtId="176" fontId="11" fillId="0" borderId="22" xfId="1" applyNumberFormat="1" applyFont="1" applyBorder="1" applyAlignment="1" applyProtection="1">
      <alignment vertical="center" wrapText="1"/>
      <protection locked="0"/>
    </xf>
    <xf numFmtId="176" fontId="11" fillId="0" borderId="1" xfId="1" applyNumberFormat="1" applyFont="1" applyBorder="1" applyAlignment="1" applyProtection="1">
      <alignment vertical="center" wrapText="1"/>
      <protection locked="0"/>
    </xf>
    <xf numFmtId="176" fontId="11" fillId="0" borderId="25" xfId="1" applyNumberFormat="1" applyFont="1" applyBorder="1" applyAlignment="1" applyProtection="1">
      <alignment vertical="center" wrapText="1"/>
      <protection locked="0"/>
    </xf>
    <xf numFmtId="176" fontId="11" fillId="0" borderId="1" xfId="1" applyNumberFormat="1" applyFont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30" xfId="0" applyFont="1" applyFill="1" applyBorder="1" applyAlignment="1" applyProtection="1">
      <alignment horizontal="center" vertical="center" wrapText="1"/>
      <protection locked="0"/>
    </xf>
    <xf numFmtId="0" fontId="11" fillId="5" borderId="22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176" fontId="11" fillId="3" borderId="26" xfId="1" applyNumberFormat="1" applyFont="1" applyFill="1" applyBorder="1" applyAlignment="1">
      <alignment horizontal="center" vertical="center"/>
    </xf>
    <xf numFmtId="176" fontId="11" fillId="3" borderId="2" xfId="1" applyNumberFormat="1" applyFont="1" applyFill="1" applyBorder="1" applyAlignment="1">
      <alignment horizontal="center" vertical="center"/>
    </xf>
    <xf numFmtId="176" fontId="11" fillId="3" borderId="27" xfId="1" applyNumberFormat="1" applyFont="1" applyFill="1" applyBorder="1" applyAlignment="1">
      <alignment horizontal="center" vertical="center"/>
    </xf>
    <xf numFmtId="176" fontId="11" fillId="3" borderId="21" xfId="1" applyNumberFormat="1" applyFont="1" applyFill="1" applyBorder="1" applyAlignment="1">
      <alignment horizontal="center" vertical="center"/>
    </xf>
    <xf numFmtId="176" fontId="11" fillId="3" borderId="28" xfId="1" applyNumberFormat="1" applyFont="1" applyFill="1" applyBorder="1" applyAlignment="1">
      <alignment horizontal="center" vertical="center"/>
    </xf>
    <xf numFmtId="176" fontId="11" fillId="3" borderId="29" xfId="1" applyNumberFormat="1" applyFont="1" applyFill="1" applyBorder="1" applyAlignment="1">
      <alignment horizontal="center" vertical="center"/>
    </xf>
    <xf numFmtId="176" fontId="11" fillId="3" borderId="22" xfId="1" applyNumberFormat="1" applyFont="1" applyFill="1" applyBorder="1" applyAlignment="1">
      <alignment horizontal="center" vertical="center"/>
    </xf>
    <xf numFmtId="176" fontId="11" fillId="3" borderId="1" xfId="1" applyNumberFormat="1" applyFont="1" applyFill="1" applyBorder="1" applyAlignment="1">
      <alignment horizontal="center" vertical="center"/>
    </xf>
    <xf numFmtId="176" fontId="11" fillId="3" borderId="25" xfId="1" applyNumberFormat="1" applyFont="1" applyFill="1" applyBorder="1" applyAlignment="1">
      <alignment horizontal="center" vertical="center"/>
    </xf>
    <xf numFmtId="0" fontId="11" fillId="3" borderId="22" xfId="1" applyFont="1" applyFill="1" applyBorder="1" applyAlignment="1">
      <alignment horizontal="center" vertical="center"/>
    </xf>
    <xf numFmtId="0" fontId="11" fillId="3" borderId="1" xfId="1" applyFont="1" applyFill="1" applyBorder="1" applyAlignment="1">
      <alignment horizontal="center" vertical="center"/>
    </xf>
    <xf numFmtId="0" fontId="11" fillId="3" borderId="25" xfId="1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5" borderId="2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49" fontId="19" fillId="0" borderId="42" xfId="5" applyNumberFormat="1" applyFont="1" applyFill="1" applyBorder="1" applyAlignment="1">
      <alignment horizontal="center" vertical="center" wrapText="1"/>
    </xf>
    <xf numFmtId="49" fontId="19" fillId="0" borderId="43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0" fontId="10" fillId="0" borderId="22" xfId="5" applyNumberFormat="1" applyFont="1" applyFill="1" applyBorder="1" applyAlignment="1">
      <alignment horizontal="right" vertical="center" wrapText="1"/>
    </xf>
    <xf numFmtId="0" fontId="10" fillId="0" borderId="44" xfId="5" applyNumberFormat="1" applyFont="1" applyFill="1" applyBorder="1" applyAlignment="1">
      <alignment horizontal="right" vertical="center" wrapText="1"/>
    </xf>
    <xf numFmtId="49" fontId="10" fillId="0" borderId="38" xfId="5" applyNumberFormat="1" applyFont="1" applyFill="1" applyBorder="1" applyAlignment="1">
      <alignment horizontal="center" vertical="center" wrapText="1"/>
    </xf>
    <xf numFmtId="49" fontId="10" fillId="0" borderId="39" xfId="5" applyNumberFormat="1" applyFont="1" applyFill="1" applyBorder="1" applyAlignment="1">
      <alignment horizontal="center" vertical="center" wrapText="1"/>
    </xf>
    <xf numFmtId="49" fontId="10" fillId="0" borderId="40" xfId="5" applyNumberFormat="1" applyFont="1" applyFill="1" applyBorder="1" applyAlignment="1">
      <alignment horizontal="center" vertical="center" wrapText="1"/>
    </xf>
    <xf numFmtId="49" fontId="10" fillId="0" borderId="41" xfId="5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horizontal="center" vertical="center"/>
    </xf>
    <xf numFmtId="49" fontId="10" fillId="0" borderId="33" xfId="5" applyNumberFormat="1" applyFont="1" applyFill="1" applyBorder="1" applyAlignment="1">
      <alignment horizontal="center" vertical="center"/>
    </xf>
    <xf numFmtId="49" fontId="10" fillId="0" borderId="34" xfId="5" applyNumberFormat="1" applyFont="1" applyFill="1" applyBorder="1" applyAlignment="1">
      <alignment horizontal="center" vertical="center"/>
    </xf>
    <xf numFmtId="49" fontId="10" fillId="2" borderId="8" xfId="5" applyNumberFormat="1" applyFont="1" applyFill="1" applyBorder="1" applyAlignment="1">
      <alignment horizontal="center" vertical="center"/>
    </xf>
    <xf numFmtId="177" fontId="10" fillId="0" borderId="8" xfId="5" applyNumberFormat="1" applyFont="1" applyFill="1" applyBorder="1" applyAlignment="1">
      <alignment horizontal="center" vertical="center"/>
    </xf>
    <xf numFmtId="177" fontId="10" fillId="0" borderId="9" xfId="5" applyNumberFormat="1" applyFont="1" applyFill="1" applyBorder="1" applyAlignment="1">
      <alignment horizontal="center" vertical="center"/>
    </xf>
    <xf numFmtId="49" fontId="10" fillId="0" borderId="38" xfId="5" applyNumberFormat="1" applyFont="1" applyFill="1" applyBorder="1" applyAlignment="1">
      <alignment horizontal="center" vertical="center"/>
    </xf>
    <xf numFmtId="49" fontId="10" fillId="0" borderId="39" xfId="5" applyNumberFormat="1" applyFont="1" applyFill="1" applyBorder="1" applyAlignment="1">
      <alignment horizontal="center" vertical="center"/>
    </xf>
    <xf numFmtId="49" fontId="10" fillId="0" borderId="40" xfId="5" applyNumberFormat="1" applyFont="1" applyFill="1" applyBorder="1" applyAlignment="1">
      <alignment horizontal="center" vertical="center"/>
    </xf>
    <xf numFmtId="49" fontId="10" fillId="2" borderId="38" xfId="5" applyNumberFormat="1" applyFont="1" applyFill="1" applyBorder="1" applyAlignment="1">
      <alignment horizontal="center" vertical="center"/>
    </xf>
    <xf numFmtId="49" fontId="10" fillId="2" borderId="39" xfId="5" applyNumberFormat="1" applyFont="1" applyFill="1" applyBorder="1" applyAlignment="1">
      <alignment horizontal="center" vertical="center"/>
    </xf>
    <xf numFmtId="49" fontId="10" fillId="2" borderId="20" xfId="5" applyNumberFormat="1" applyFont="1" applyFill="1" applyBorder="1" applyAlignment="1">
      <alignment horizontal="center" vertical="center"/>
    </xf>
    <xf numFmtId="49" fontId="10" fillId="2" borderId="33" xfId="5" applyNumberFormat="1" applyFont="1" applyFill="1" applyBorder="1" applyAlignment="1">
      <alignment horizontal="center" vertical="center"/>
    </xf>
    <xf numFmtId="49" fontId="10" fillId="2" borderId="34" xfId="5" applyNumberFormat="1" applyFont="1" applyFill="1" applyBorder="1" applyAlignment="1">
      <alignment horizontal="center" vertical="center"/>
    </xf>
    <xf numFmtId="49" fontId="10" fillId="0" borderId="41" xfId="5" applyNumberFormat="1" applyFont="1" applyFill="1" applyBorder="1" applyAlignment="1">
      <alignment horizontal="center" vertical="center"/>
    </xf>
    <xf numFmtId="49" fontId="17" fillId="0" borderId="31" xfId="5" applyNumberFormat="1" applyFont="1" applyFill="1" applyBorder="1" applyAlignment="1">
      <alignment horizontal="center" vertical="center" wrapText="1"/>
    </xf>
    <xf numFmtId="49" fontId="17" fillId="0" borderId="32" xfId="5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49" fontId="10" fillId="0" borderId="22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6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37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16" fillId="0" borderId="31" xfId="5" applyNumberFormat="1" applyFont="1" applyFill="1" applyBorder="1" applyAlignment="1">
      <alignment horizontal="center" vertical="center" wrapText="1"/>
    </xf>
    <xf numFmtId="49" fontId="16" fillId="0" borderId="32" xfId="5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vertical="center" wrapText="1"/>
    </xf>
    <xf numFmtId="49" fontId="10" fillId="0" borderId="33" xfId="5" applyNumberFormat="1" applyFont="1" applyFill="1" applyBorder="1" applyAlignment="1">
      <alignment vertical="center" wrapText="1"/>
    </xf>
    <xf numFmtId="49" fontId="10" fillId="0" borderId="34" xfId="5" applyNumberFormat="1" applyFont="1" applyFill="1" applyBorder="1" applyAlignment="1">
      <alignment vertical="center" wrapText="1"/>
    </xf>
    <xf numFmtId="49" fontId="10" fillId="0" borderId="22" xfId="5" applyNumberFormat="1" applyFont="1" applyFill="1" applyBorder="1" applyAlignment="1">
      <alignment vertical="center" wrapText="1"/>
    </xf>
    <xf numFmtId="49" fontId="10" fillId="0" borderId="1" xfId="5" applyNumberFormat="1" applyFont="1" applyFill="1" applyBorder="1" applyAlignment="1">
      <alignment vertical="center" wrapText="1"/>
    </xf>
    <xf numFmtId="49" fontId="10" fillId="0" borderId="25" xfId="5" applyNumberFormat="1" applyFont="1" applyFill="1" applyBorder="1" applyAlignment="1">
      <alignment vertical="center" wrapText="1"/>
    </xf>
    <xf numFmtId="49" fontId="18" fillId="0" borderId="31" xfId="5" applyNumberFormat="1" applyFont="1" applyFill="1" applyBorder="1" applyAlignment="1">
      <alignment horizontal="center" vertical="center" wrapText="1"/>
    </xf>
    <xf numFmtId="49" fontId="18" fillId="0" borderId="32" xfId="5" applyNumberFormat="1" applyFont="1" applyFill="1" applyBorder="1" applyAlignment="1">
      <alignment horizontal="center" vertical="center" wrapText="1"/>
    </xf>
    <xf numFmtId="49" fontId="18" fillId="0" borderId="35" xfId="5" applyNumberFormat="1" applyFont="1" applyFill="1" applyBorder="1" applyAlignment="1">
      <alignment horizontal="center" vertical="center" wrapText="1"/>
    </xf>
    <xf numFmtId="49" fontId="10" fillId="0" borderId="36" xfId="0" applyNumberFormat="1" applyFont="1" applyFill="1" applyBorder="1" applyAlignment="1">
      <alignment horizontal="left" vertical="top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1" xfId="4" applyNumberFormat="1" applyFont="1" applyFill="1" applyBorder="1" applyAlignment="1">
      <alignment horizontal="left" wrapText="1"/>
    </xf>
    <xf numFmtId="49" fontId="10" fillId="0" borderId="37" xfId="5" applyNumberFormat="1" applyFont="1" applyFill="1" applyBorder="1" applyAlignment="1">
      <alignment horizontal="center" vertical="center" wrapText="1"/>
    </xf>
    <xf numFmtId="49" fontId="10" fillId="0" borderId="26" xfId="4" applyNumberFormat="1" applyFont="1" applyFill="1" applyBorder="1" applyAlignment="1">
      <alignment horizontal="left" wrapText="1"/>
    </xf>
    <xf numFmtId="49" fontId="10" fillId="0" borderId="2" xfId="4" applyNumberFormat="1" applyFont="1" applyFill="1" applyBorder="1" applyAlignment="1">
      <alignment horizontal="left" wrapText="1"/>
    </xf>
    <xf numFmtId="49" fontId="10" fillId="0" borderId="44" xfId="4" applyNumberFormat="1" applyFont="1" applyFill="1" applyBorder="1" applyAlignment="1">
      <alignment horizontal="left" wrapText="1"/>
    </xf>
    <xf numFmtId="49" fontId="10" fillId="0" borderId="20" xfId="6" applyNumberFormat="1" applyFont="1" applyFill="1" applyBorder="1" applyAlignment="1">
      <alignment horizontal="left" vertical="top" wrapText="1"/>
    </xf>
    <xf numFmtId="49" fontId="10" fillId="0" borderId="33" xfId="6" applyNumberFormat="1" applyFont="1" applyFill="1" applyBorder="1" applyAlignment="1">
      <alignment horizontal="left" vertical="top" wrapText="1"/>
    </xf>
    <xf numFmtId="49" fontId="10" fillId="0" borderId="45" xfId="6" applyNumberFormat="1" applyFont="1" applyFill="1" applyBorder="1" applyAlignment="1">
      <alignment horizontal="left" vertical="top" wrapText="1"/>
    </xf>
    <xf numFmtId="49" fontId="10" fillId="0" borderId="26" xfId="5" applyNumberFormat="1" applyFont="1" applyFill="1" applyBorder="1" applyAlignment="1">
      <alignment horizontal="center" vertical="center" wrapText="1"/>
    </xf>
    <xf numFmtId="49" fontId="10" fillId="0" borderId="13" xfId="5" applyNumberFormat="1" applyFont="1" applyFill="1" applyBorder="1" applyAlignment="1">
      <alignment horizontal="center" vertical="center" wrapText="1"/>
    </xf>
    <xf numFmtId="49" fontId="10" fillId="0" borderId="38" xfId="4" applyNumberFormat="1" applyFont="1" applyFill="1" applyBorder="1" applyAlignment="1">
      <alignment horizontal="left" wrapText="1"/>
    </xf>
    <xf numFmtId="49" fontId="10" fillId="0" borderId="39" xfId="4" applyNumberFormat="1" applyFont="1" applyFill="1" applyBorder="1" applyAlignment="1">
      <alignment horizontal="left" wrapText="1"/>
    </xf>
    <xf numFmtId="49" fontId="10" fillId="0" borderId="41" xfId="4" applyNumberFormat="1" applyFont="1" applyFill="1" applyBorder="1" applyAlignment="1">
      <alignment horizontal="left" wrapText="1"/>
    </xf>
    <xf numFmtId="49" fontId="10" fillId="0" borderId="37" xfId="4" applyNumberFormat="1" applyFont="1" applyFill="1" applyBorder="1" applyAlignment="1">
      <alignment horizontal="center" wrapText="1"/>
    </xf>
    <xf numFmtId="49" fontId="10" fillId="0" borderId="47" xfId="4" applyNumberFormat="1" applyFont="1" applyFill="1" applyBorder="1" applyAlignment="1">
      <alignment horizontal="center" wrapText="1"/>
    </xf>
    <xf numFmtId="49" fontId="10" fillId="0" borderId="22" xfId="6" applyNumberFormat="1" applyFont="1" applyFill="1" applyBorder="1" applyAlignment="1">
      <alignment horizontal="left" vertical="top" wrapText="1"/>
    </xf>
    <xf numFmtId="49" fontId="10" fillId="0" borderId="1" xfId="6" applyNumberFormat="1" applyFont="1" applyFill="1" applyBorder="1" applyAlignment="1">
      <alignment horizontal="left" vertical="top" wrapText="1"/>
    </xf>
    <xf numFmtId="49" fontId="10" fillId="0" borderId="44" xfId="6" applyNumberFormat="1" applyFont="1" applyFill="1" applyBorder="1" applyAlignment="1">
      <alignment horizontal="left" vertical="top" wrapText="1"/>
    </xf>
    <xf numFmtId="49" fontId="14" fillId="0" borderId="22" xfId="6" applyNumberFormat="1" applyFont="1" applyFill="1" applyBorder="1" applyAlignment="1">
      <alignment horizontal="left" vertical="top" wrapText="1"/>
    </xf>
    <xf numFmtId="49" fontId="14" fillId="0" borderId="1" xfId="6" applyNumberFormat="1" applyFont="1" applyFill="1" applyBorder="1" applyAlignment="1">
      <alignment horizontal="left" vertical="top" wrapText="1"/>
    </xf>
    <xf numFmtId="49" fontId="14" fillId="0" borderId="44" xfId="6" applyNumberFormat="1" applyFont="1" applyFill="1" applyBorder="1" applyAlignment="1">
      <alignment horizontal="left" vertical="top" wrapText="1"/>
    </xf>
    <xf numFmtId="49" fontId="10" fillId="0" borderId="15" xfId="6" applyNumberFormat="1" applyFont="1" applyFill="1" applyBorder="1" applyAlignment="1">
      <alignment horizontal="center" vertical="top" wrapText="1"/>
    </xf>
    <xf numFmtId="49" fontId="10" fillId="0" borderId="37" xfId="6" applyNumberFormat="1" applyFont="1" applyFill="1" applyBorder="1" applyAlignment="1">
      <alignment horizontal="center" vertical="top" wrapText="1"/>
    </xf>
    <xf numFmtId="49" fontId="4" fillId="0" borderId="22" xfId="6" applyNumberFormat="1" applyFont="1" applyFill="1" applyBorder="1" applyAlignment="1">
      <alignment horizontal="left" vertical="top" wrapText="1"/>
    </xf>
    <xf numFmtId="49" fontId="4" fillId="0" borderId="1" xfId="6" applyNumberFormat="1" applyFont="1" applyFill="1" applyBorder="1" applyAlignment="1">
      <alignment horizontal="left" vertical="top" wrapText="1"/>
    </xf>
    <xf numFmtId="49" fontId="4" fillId="0" borderId="44" xfId="6" applyNumberFormat="1" applyFont="1" applyFill="1" applyBorder="1" applyAlignment="1">
      <alignment horizontal="left" vertical="top" wrapText="1"/>
    </xf>
    <xf numFmtId="49" fontId="14" fillId="0" borderId="15" xfId="6" applyNumberFormat="1" applyFont="1" applyFill="1" applyBorder="1" applyAlignment="1">
      <alignment horizontal="center" vertical="top" wrapText="1"/>
    </xf>
    <xf numFmtId="49" fontId="14" fillId="0" borderId="37" xfId="6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left" vertical="top" wrapText="1"/>
    </xf>
    <xf numFmtId="49" fontId="10" fillId="0" borderId="12" xfId="0" applyNumberFormat="1" applyFont="1" applyFill="1" applyBorder="1" applyAlignment="1">
      <alignment horizontal="left" vertical="top" wrapText="1"/>
    </xf>
    <xf numFmtId="49" fontId="10" fillId="0" borderId="38" xfId="6" applyNumberFormat="1" applyFont="1" applyFill="1" applyBorder="1" applyAlignment="1">
      <alignment horizontal="left" vertical="top" wrapText="1"/>
    </xf>
    <xf numFmtId="49" fontId="10" fillId="0" borderId="39" xfId="6" applyNumberFormat="1" applyFont="1" applyFill="1" applyBorder="1" applyAlignment="1">
      <alignment horizontal="left" vertical="top" wrapText="1"/>
    </xf>
    <xf numFmtId="49" fontId="10" fillId="0" borderId="41" xfId="6" applyNumberFormat="1" applyFont="1" applyFill="1" applyBorder="1" applyAlignment="1">
      <alignment horizontal="left" vertical="top" wrapText="1"/>
    </xf>
    <xf numFmtId="49" fontId="4" fillId="0" borderId="21" xfId="6" applyNumberFormat="1" applyFont="1" applyFill="1" applyBorder="1" applyAlignment="1">
      <alignment horizontal="left" vertical="top" wrapText="1"/>
    </xf>
    <xf numFmtId="49" fontId="4" fillId="0" borderId="28" xfId="6" applyNumberFormat="1" applyFont="1" applyFill="1" applyBorder="1" applyAlignment="1">
      <alignment horizontal="left" vertical="top" wrapText="1"/>
    </xf>
    <xf numFmtId="49" fontId="4" fillId="0" borderId="49" xfId="6" applyNumberFormat="1" applyFont="1" applyFill="1" applyBorder="1" applyAlignment="1">
      <alignment horizontal="left" vertical="top" wrapText="1"/>
    </xf>
    <xf numFmtId="49" fontId="10" fillId="0" borderId="21" xfId="4" applyNumberFormat="1" applyFont="1" applyFill="1" applyBorder="1" applyAlignment="1">
      <alignment horizontal="left" wrapText="1"/>
    </xf>
    <xf numFmtId="49" fontId="10" fillId="0" borderId="28" xfId="4" applyNumberFormat="1" applyFont="1" applyFill="1" applyBorder="1" applyAlignment="1">
      <alignment horizontal="left" wrapText="1"/>
    </xf>
    <xf numFmtId="49" fontId="10" fillId="0" borderId="1" xfId="0" applyNumberFormat="1" applyFont="1" applyFill="1" applyBorder="1" applyAlignment="1">
      <alignment horizontal="center" vertical="center" wrapText="1"/>
    </xf>
    <xf numFmtId="49" fontId="10" fillId="0" borderId="44" xfId="0" applyNumberFormat="1" applyFont="1" applyFill="1" applyBorder="1" applyAlignment="1">
      <alignment horizontal="left" vertical="top" wrapText="1"/>
    </xf>
  </cellXfs>
  <cellStyles count="7">
    <cellStyle name="Normal" xfId="0" builtinId="0"/>
    <cellStyle name="Normal_Program Check List1" xfId="6"/>
    <cellStyle name="Normal_単価テスト_財産管理" xfId="1"/>
    <cellStyle name="Percent" xfId="2" builtinId="5"/>
    <cellStyle name="標準_format(USI)" xfId="3"/>
    <cellStyle name="標準_Sheet1_コピー ～ 一括失効" xfId="4"/>
    <cellStyle name="標準_コピー ～ 一括失効" xfId="5"/>
  </cellStyles>
  <dxfs count="105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3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6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35</xdr:row>
      <xdr:rowOff>0</xdr:rowOff>
    </xdr:from>
    <xdr:to>
      <xdr:col>15</xdr:col>
      <xdr:colOff>19050</xdr:colOff>
      <xdr:row>73</xdr:row>
      <xdr:rowOff>28575</xdr:rowOff>
    </xdr:to>
    <xdr:pic>
      <xdr:nvPicPr>
        <xdr:cNvPr id="1167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6000750"/>
          <a:ext cx="9620250" cy="6543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28575</xdr:colOff>
      <xdr:row>76</xdr:row>
      <xdr:rowOff>95250</xdr:rowOff>
    </xdr:from>
    <xdr:to>
      <xdr:col>14</xdr:col>
      <xdr:colOff>609600</xdr:colOff>
      <xdr:row>118</xdr:row>
      <xdr:rowOff>28575</xdr:rowOff>
    </xdr:to>
    <xdr:pic>
      <xdr:nvPicPr>
        <xdr:cNvPr id="1167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4375" y="13125450"/>
          <a:ext cx="9496425" cy="71342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</xdr:colOff>
      <xdr:row>120</xdr:row>
      <xdr:rowOff>0</xdr:rowOff>
    </xdr:from>
    <xdr:to>
      <xdr:col>15</xdr:col>
      <xdr:colOff>19051</xdr:colOff>
      <xdr:row>158</xdr:row>
      <xdr:rowOff>47625</xdr:rowOff>
    </xdr:to>
    <xdr:pic>
      <xdr:nvPicPr>
        <xdr:cNvPr id="11674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1" y="20574000"/>
          <a:ext cx="9620250" cy="6562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13</xdr:col>
      <xdr:colOff>619125</xdr:colOff>
      <xdr:row>30</xdr:row>
      <xdr:rowOff>19050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0" y="514350"/>
          <a:ext cx="9534525" cy="4648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163</xdr:row>
      <xdr:rowOff>0</xdr:rowOff>
    </xdr:from>
    <xdr:to>
      <xdr:col>14</xdr:col>
      <xdr:colOff>76200</xdr:colOff>
      <xdr:row>200</xdr:row>
      <xdr:rowOff>57150</xdr:rowOff>
    </xdr:to>
    <xdr:pic>
      <xdr:nvPicPr>
        <xdr:cNvPr id="11878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27946350"/>
          <a:ext cx="8991600" cy="64008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202</xdr:row>
      <xdr:rowOff>0</xdr:rowOff>
    </xdr:from>
    <xdr:to>
      <xdr:col>14</xdr:col>
      <xdr:colOff>0</xdr:colOff>
      <xdr:row>235</xdr:row>
      <xdr:rowOff>142875</xdr:rowOff>
    </xdr:to>
    <xdr:pic>
      <xdr:nvPicPr>
        <xdr:cNvPr id="11878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34632900"/>
          <a:ext cx="8915400" cy="5800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D11" sqref="D11:J11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15"/>
      <c r="C3" s="116"/>
      <c r="D3" s="117"/>
      <c r="E3" s="118"/>
      <c r="F3" s="118"/>
      <c r="G3" s="118"/>
      <c r="H3" s="118"/>
      <c r="I3" s="118"/>
      <c r="J3" s="119"/>
      <c r="K3" s="109">
        <f ca="1">IF($D3="",0,MAX(INDIRECT("'"&amp;$D3&amp;"'!$H3:$AZ3")))</f>
        <v>0</v>
      </c>
      <c r="L3" s="110"/>
      <c r="M3" s="110"/>
      <c r="N3" s="111"/>
      <c r="O3" s="115" t="str">
        <f ca="1">IF($D3="","",COUNTIF(INDIRECT("'"&amp;$D3&amp;"'!$H"&amp;ROW(INDIRECT("'"&amp;$D3&amp;"'!TestResult"))&amp;":$AZ"&amp;ROW(INDIRECT("'"&amp;$D3&amp;"'!TestResult"))),O$9))</f>
        <v/>
      </c>
      <c r="P3" s="120"/>
      <c r="Q3" s="116"/>
      <c r="R3" s="115" t="str">
        <f ca="1">IF($D3="","",COUNTIF(INDIRECT("'"&amp;$D3&amp;"'!$H"&amp;ROW(INDIRECT("'"&amp;$D3&amp;"'!TestResult"))&amp;":$AZ"&amp;ROW(INDIRECT("'"&amp;$D3&amp;"'!TestResult"))),R$9))</f>
        <v/>
      </c>
      <c r="S3" s="120"/>
      <c r="T3" s="116"/>
      <c r="U3" s="115" t="str">
        <f ca="1">IF($D3="","",COUNTIF(INDIRECT("'"&amp;$D3&amp;"'!$H"&amp;ROW(INDIRECT("'"&amp;$D3&amp;"'!TestResult"))&amp;":$AZ"&amp;ROW(INDIRECT("'"&amp;$D3&amp;"'!TestResult"))),U$9))</f>
        <v/>
      </c>
      <c r="V3" s="120"/>
      <c r="W3" s="116"/>
      <c r="X3" s="115" t="str">
        <f ca="1">IF($D3="","",COUNTIF(INDIRECT("'"&amp;$D3&amp;"'!$H"&amp;ROW(INDIRECT("'"&amp;$D3&amp;"'!TestResult"))&amp;":$AZ"&amp;ROW(INDIRECT("'"&amp;$D3&amp;"'!TestResult"))),X$9))</f>
        <v/>
      </c>
      <c r="Y3" s="120"/>
      <c r="Z3" s="116"/>
      <c r="AA3" s="109">
        <f ca="1">SUM(O3:Z3)</f>
        <v>0</v>
      </c>
      <c r="AB3" s="110"/>
      <c r="AC3" s="110"/>
      <c r="AD3" s="111"/>
      <c r="AE3" s="109">
        <f ca="1">K3-AA3</f>
        <v>0</v>
      </c>
      <c r="AF3" s="110"/>
      <c r="AG3" s="110"/>
      <c r="AH3" s="111"/>
      <c r="AI3" s="112" t="str">
        <f ca="1">IF($D3="","",SUM(INDIRECT("'"&amp;$D3&amp;"'!BugCount")))</f>
        <v/>
      </c>
      <c r="AJ3" s="113"/>
      <c r="AK3" s="113"/>
      <c r="AL3" s="114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21" t="s">
        <v>9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3"/>
    </row>
    <row r="8" spans="1:38" ht="13.5" customHeight="1">
      <c r="B8" s="130"/>
      <c r="C8" s="131"/>
      <c r="D8" s="130"/>
      <c r="E8" s="132"/>
      <c r="F8" s="132"/>
      <c r="G8" s="132"/>
      <c r="H8" s="132"/>
      <c r="I8" s="132"/>
      <c r="J8" s="131"/>
      <c r="K8" s="154" t="s">
        <v>2</v>
      </c>
      <c r="L8" s="155"/>
      <c r="M8" s="155"/>
      <c r="N8" s="156"/>
      <c r="O8" s="157" t="s">
        <v>1</v>
      </c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9"/>
      <c r="AA8" s="154" t="s">
        <v>34</v>
      </c>
      <c r="AB8" s="155"/>
      <c r="AC8" s="155"/>
      <c r="AD8" s="156"/>
      <c r="AE8" s="154" t="s">
        <v>34</v>
      </c>
      <c r="AF8" s="155"/>
      <c r="AG8" s="155"/>
      <c r="AH8" s="156"/>
      <c r="AI8" s="151"/>
      <c r="AJ8" s="152"/>
      <c r="AK8" s="152"/>
      <c r="AL8" s="153"/>
    </row>
    <row r="9" spans="1:38" s="4" customFormat="1">
      <c r="B9" s="148" t="s">
        <v>16</v>
      </c>
      <c r="C9" s="149"/>
      <c r="D9" s="148" t="s">
        <v>17</v>
      </c>
      <c r="E9" s="150"/>
      <c r="F9" s="150"/>
      <c r="G9" s="150"/>
      <c r="H9" s="150"/>
      <c r="I9" s="150"/>
      <c r="J9" s="149"/>
      <c r="K9" s="127" t="s">
        <v>32</v>
      </c>
      <c r="L9" s="128"/>
      <c r="M9" s="128"/>
      <c r="N9" s="129"/>
      <c r="O9" s="124" t="s">
        <v>18</v>
      </c>
      <c r="P9" s="125"/>
      <c r="Q9" s="126"/>
      <c r="R9" s="124" t="s">
        <v>19</v>
      </c>
      <c r="S9" s="125"/>
      <c r="T9" s="126"/>
      <c r="U9" s="124" t="s">
        <v>20</v>
      </c>
      <c r="V9" s="125"/>
      <c r="W9" s="126"/>
      <c r="X9" s="124" t="s">
        <v>21</v>
      </c>
      <c r="Y9" s="125"/>
      <c r="Z9" s="126"/>
      <c r="AA9" s="127" t="s">
        <v>33</v>
      </c>
      <c r="AB9" s="128"/>
      <c r="AC9" s="128"/>
      <c r="AD9" s="129"/>
      <c r="AE9" s="127" t="s">
        <v>35</v>
      </c>
      <c r="AF9" s="128"/>
      <c r="AG9" s="128"/>
      <c r="AH9" s="129"/>
      <c r="AI9" s="133" t="s">
        <v>36</v>
      </c>
      <c r="AJ9" s="134"/>
      <c r="AK9" s="134"/>
      <c r="AL9" s="135"/>
    </row>
    <row r="10" spans="1:38" s="4" customFormat="1">
      <c r="B10" s="115">
        <v>1</v>
      </c>
      <c r="C10" s="116"/>
      <c r="D10" s="117" t="s">
        <v>63</v>
      </c>
      <c r="E10" s="118"/>
      <c r="F10" s="118"/>
      <c r="G10" s="118"/>
      <c r="H10" s="118"/>
      <c r="I10" s="118"/>
      <c r="J10" s="119"/>
      <c r="K10" s="109">
        <f ca="1">IF($D10="",0,MAX(INDIRECT("'"&amp;$D10&amp;"'!$H3:$AZ3")))</f>
        <v>6</v>
      </c>
      <c r="L10" s="110"/>
      <c r="M10" s="110"/>
      <c r="N10" s="111"/>
      <c r="O10" s="115">
        <f ca="1">IF($D10="","",COUNTIF(INDIRECT("'"&amp;$D10&amp;"'!$H"&amp;ROW(INDIRECT("'"&amp;$D10&amp;"'!TestResult"))&amp;":$AZ"&amp;ROW(INDIRECT("'"&amp;$D10&amp;"'!TestResult"))),O$9))</f>
        <v>6</v>
      </c>
      <c r="P10" s="120"/>
      <c r="Q10" s="116"/>
      <c r="R10" s="115">
        <f ca="1">IF($D10="","",COUNTIF(INDIRECT("'"&amp;$D10&amp;"'!$H"&amp;ROW(INDIRECT("'"&amp;$D10&amp;"'!TestResult"))&amp;":$AZ"&amp;ROW(INDIRECT("'"&amp;$D10&amp;"'!TestResult"))),R$9))</f>
        <v>0</v>
      </c>
      <c r="S10" s="120"/>
      <c r="T10" s="116"/>
      <c r="U10" s="115">
        <f ca="1">IF($D10="","",COUNTIF(INDIRECT("'"&amp;$D10&amp;"'!$H"&amp;ROW(INDIRECT("'"&amp;$D10&amp;"'!TestResult"))&amp;":$AZ"&amp;ROW(INDIRECT("'"&amp;$D10&amp;"'!TestResult"))),U$9))</f>
        <v>0</v>
      </c>
      <c r="V10" s="120"/>
      <c r="W10" s="116"/>
      <c r="X10" s="115">
        <f ca="1">IF($D10="","",COUNTIF(INDIRECT("'"&amp;$D10&amp;"'!$H"&amp;ROW(INDIRECT("'"&amp;$D10&amp;"'!TestResult"))&amp;":$AZ"&amp;ROW(INDIRECT("'"&amp;$D10&amp;"'!TestResult"))),X$9))</f>
        <v>0</v>
      </c>
      <c r="Y10" s="120"/>
      <c r="Z10" s="116"/>
      <c r="AA10" s="109">
        <f ca="1">SUM(O10:Z10)</f>
        <v>6</v>
      </c>
      <c r="AB10" s="110"/>
      <c r="AC10" s="110"/>
      <c r="AD10" s="111"/>
      <c r="AE10" s="109">
        <f ca="1">K10-AA10</f>
        <v>0</v>
      </c>
      <c r="AF10" s="110"/>
      <c r="AG10" s="110"/>
      <c r="AH10" s="111"/>
      <c r="AI10" s="112">
        <f ca="1">IF($D10="","",SUM(INDIRECT("'"&amp;$D10&amp;"'!BugCount")))</f>
        <v>0</v>
      </c>
      <c r="AJ10" s="113"/>
      <c r="AK10" s="113"/>
      <c r="AL10" s="114"/>
    </row>
    <row r="11" spans="1:38" s="4" customFormat="1">
      <c r="B11" s="115">
        <v>2</v>
      </c>
      <c r="C11" s="116"/>
      <c r="D11" s="117" t="s">
        <v>93</v>
      </c>
      <c r="E11" s="118"/>
      <c r="F11" s="118"/>
      <c r="G11" s="118"/>
      <c r="H11" s="118"/>
      <c r="I11" s="118"/>
      <c r="J11" s="119"/>
      <c r="K11" s="109">
        <f ca="1">IF($D11="",0,MAX(INDIRECT("'"&amp;$D11&amp;"'!$H3:$AZ3")))</f>
        <v>8</v>
      </c>
      <c r="L11" s="110"/>
      <c r="M11" s="110"/>
      <c r="N11" s="111"/>
      <c r="O11" s="115">
        <f ca="1">IF($D11="","",COUNTIF(INDIRECT("'"&amp;$D11&amp;"'!$H"&amp;ROW(INDIRECT("'"&amp;$D11&amp;"'!TestResult"))&amp;":$AZ"&amp;ROW(INDIRECT("'"&amp;$D11&amp;"'!TestResult"))),O$9))</f>
        <v>8</v>
      </c>
      <c r="P11" s="120"/>
      <c r="Q11" s="116"/>
      <c r="R11" s="115">
        <f ca="1">IF($D11="","",COUNTIF(INDIRECT("'"&amp;$D11&amp;"'!$H"&amp;ROW(INDIRECT("'"&amp;$D11&amp;"'!TestResult"))&amp;":$AZ"&amp;ROW(INDIRECT("'"&amp;$D11&amp;"'!TestResult"))),R$9))</f>
        <v>0</v>
      </c>
      <c r="S11" s="120"/>
      <c r="T11" s="116"/>
      <c r="U11" s="115">
        <f ca="1">IF($D11="","",COUNTIF(INDIRECT("'"&amp;$D11&amp;"'!$H"&amp;ROW(INDIRECT("'"&amp;$D11&amp;"'!TestResult"))&amp;":$AZ"&amp;ROW(INDIRECT("'"&amp;$D11&amp;"'!TestResult"))),U$9))</f>
        <v>0</v>
      </c>
      <c r="V11" s="120"/>
      <c r="W11" s="116"/>
      <c r="X11" s="115">
        <f ca="1">IF($D11="","",COUNTIF(INDIRECT("'"&amp;$D11&amp;"'!$H"&amp;ROW(INDIRECT("'"&amp;$D11&amp;"'!TestResult"))&amp;":$AZ"&amp;ROW(INDIRECT("'"&amp;$D11&amp;"'!TestResult"))),X$9))</f>
        <v>0</v>
      </c>
      <c r="Y11" s="120"/>
      <c r="Z11" s="116"/>
      <c r="AA11" s="109">
        <f ca="1">SUM(O11:Z11)</f>
        <v>8</v>
      </c>
      <c r="AB11" s="110"/>
      <c r="AC11" s="110"/>
      <c r="AD11" s="111"/>
      <c r="AE11" s="109">
        <f ca="1">K11-AA11</f>
        <v>0</v>
      </c>
      <c r="AF11" s="110"/>
      <c r="AG11" s="110"/>
      <c r="AH11" s="111"/>
      <c r="AI11" s="112">
        <f ca="1">IF($D11="","",SUM(INDIRECT("'"&amp;$D11&amp;"'!BugCount")))</f>
        <v>0</v>
      </c>
      <c r="AJ11" s="113"/>
      <c r="AK11" s="113"/>
      <c r="AL11" s="114"/>
    </row>
    <row r="12" spans="1:38" s="4" customFormat="1">
      <c r="B12" s="115">
        <v>3</v>
      </c>
      <c r="C12" s="116"/>
      <c r="D12" s="117" t="s">
        <v>101</v>
      </c>
      <c r="E12" s="118"/>
      <c r="F12" s="118"/>
      <c r="G12" s="118"/>
      <c r="H12" s="118"/>
      <c r="I12" s="118"/>
      <c r="J12" s="119"/>
      <c r="K12" s="109">
        <f ca="1">IF($D12="",0,MAX(INDIRECT("'"&amp;$D12&amp;"'!$H3:$AZ3")))</f>
        <v>1</v>
      </c>
      <c r="L12" s="110"/>
      <c r="M12" s="110"/>
      <c r="N12" s="111"/>
      <c r="O12" s="115">
        <f ca="1">IF($D12="","",COUNTIF(INDIRECT("'"&amp;$D12&amp;"'!$H"&amp;ROW(INDIRECT("'"&amp;$D12&amp;"'!TestResult"))&amp;":$AZ"&amp;ROW(INDIRECT("'"&amp;$D12&amp;"'!TestResult"))),O$9))</f>
        <v>1</v>
      </c>
      <c r="P12" s="120"/>
      <c r="Q12" s="116"/>
      <c r="R12" s="115">
        <f ca="1">IF($D12="","",COUNTIF(INDIRECT("'"&amp;$D12&amp;"'!$H"&amp;ROW(INDIRECT("'"&amp;$D12&amp;"'!TestResult"))&amp;":$AZ"&amp;ROW(INDIRECT("'"&amp;$D12&amp;"'!TestResult"))),R$9))</f>
        <v>0</v>
      </c>
      <c r="S12" s="120"/>
      <c r="T12" s="116"/>
      <c r="U12" s="115">
        <f ca="1">IF($D12="","",COUNTIF(INDIRECT("'"&amp;$D12&amp;"'!$H"&amp;ROW(INDIRECT("'"&amp;$D12&amp;"'!TestResult"))&amp;":$AZ"&amp;ROW(INDIRECT("'"&amp;$D12&amp;"'!TestResult"))),U$9))</f>
        <v>0</v>
      </c>
      <c r="V12" s="120"/>
      <c r="W12" s="116"/>
      <c r="X12" s="115">
        <f ca="1">IF($D12="","",COUNTIF(INDIRECT("'"&amp;$D12&amp;"'!$H"&amp;ROW(INDIRECT("'"&amp;$D12&amp;"'!TestResult"))&amp;":$AZ"&amp;ROW(INDIRECT("'"&amp;$D12&amp;"'!TestResult"))),X$9))</f>
        <v>0</v>
      </c>
      <c r="Y12" s="120"/>
      <c r="Z12" s="116"/>
      <c r="AA12" s="109">
        <f ca="1">SUM(O12:Z12)</f>
        <v>1</v>
      </c>
      <c r="AB12" s="110"/>
      <c r="AC12" s="110"/>
      <c r="AD12" s="111"/>
      <c r="AE12" s="109">
        <f ca="1">K12-AA12</f>
        <v>0</v>
      </c>
      <c r="AF12" s="110"/>
      <c r="AG12" s="110"/>
      <c r="AH12" s="111"/>
      <c r="AI12" s="112">
        <f ca="1">IF($D12="","",SUM(INDIRECT("'"&amp;$D12&amp;"'!BugCount")))</f>
        <v>0</v>
      </c>
      <c r="AJ12" s="113"/>
      <c r="AK12" s="113"/>
      <c r="AL12" s="114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49</v>
      </c>
      <c r="B14" s="145" t="s">
        <v>2</v>
      </c>
      <c r="C14" s="146"/>
      <c r="D14" s="146"/>
      <c r="E14" s="146"/>
      <c r="F14" s="146"/>
      <c r="G14" s="146"/>
      <c r="H14" s="146"/>
      <c r="I14" s="146"/>
      <c r="J14" s="147"/>
      <c r="K14" s="136">
        <f ca="1">SUBTOTAL(9,K9:K13)</f>
        <v>15</v>
      </c>
      <c r="L14" s="137"/>
      <c r="M14" s="137"/>
      <c r="N14" s="138"/>
      <c r="O14" s="142">
        <f ca="1">SUBTOTAL(9,O9:O13)</f>
        <v>15</v>
      </c>
      <c r="P14" s="143"/>
      <c r="Q14" s="144"/>
      <c r="R14" s="142">
        <f ca="1">SUBTOTAL(9,R9:R13)</f>
        <v>0</v>
      </c>
      <c r="S14" s="143"/>
      <c r="T14" s="144"/>
      <c r="U14" s="142">
        <f ca="1">SUBTOTAL(9,U9:U13)</f>
        <v>0</v>
      </c>
      <c r="V14" s="143"/>
      <c r="W14" s="144"/>
      <c r="X14" s="142">
        <f ca="1">SUBTOTAL(9,X9:X13)</f>
        <v>0</v>
      </c>
      <c r="Y14" s="143"/>
      <c r="Z14" s="144"/>
      <c r="AA14" s="142">
        <f ca="1">SUBTOTAL(9,AA9:AA13)</f>
        <v>15</v>
      </c>
      <c r="AB14" s="143"/>
      <c r="AC14" s="143"/>
      <c r="AD14" s="144"/>
      <c r="AE14" s="142">
        <f ca="1">SUBTOTAL(9,AE9:AE13)</f>
        <v>0</v>
      </c>
      <c r="AF14" s="143"/>
      <c r="AG14" s="143"/>
      <c r="AH14" s="144"/>
      <c r="AI14" s="136">
        <f ca="1">SUBTOTAL(9,AI9:AI13)</f>
        <v>0</v>
      </c>
      <c r="AJ14" s="137"/>
      <c r="AK14" s="137"/>
      <c r="AL14" s="138"/>
    </row>
    <row r="15" spans="1:38" s="4" customFormat="1" ht="12.75" customHeight="1">
      <c r="B15" s="145" t="s">
        <v>3</v>
      </c>
      <c r="C15" s="146"/>
      <c r="D15" s="146"/>
      <c r="E15" s="146"/>
      <c r="F15" s="146"/>
      <c r="G15" s="146"/>
      <c r="H15" s="146"/>
      <c r="I15" s="146"/>
      <c r="J15" s="147"/>
      <c r="K15" s="139"/>
      <c r="L15" s="140"/>
      <c r="M15" s="140"/>
      <c r="N15" s="141"/>
      <c r="O15" s="106">
        <f ca="1">IF(ISERR(O14/$K$14),0,O14/$K$14)</f>
        <v>1</v>
      </c>
      <c r="P15" s="107"/>
      <c r="Q15" s="108"/>
      <c r="R15" s="106">
        <f ca="1">IF(ISERR(R14/$K$14),0,R14/$K$14)</f>
        <v>0</v>
      </c>
      <c r="S15" s="107"/>
      <c r="T15" s="108"/>
      <c r="U15" s="106">
        <f ca="1">IF(ISERR(U14/$K$14),0,U14/$K$14)</f>
        <v>0</v>
      </c>
      <c r="V15" s="107"/>
      <c r="W15" s="108"/>
      <c r="X15" s="106">
        <f ca="1">IF(ISERR(X14/$K$14),0,X14/$K$14)</f>
        <v>0</v>
      </c>
      <c r="Y15" s="107"/>
      <c r="Z15" s="108"/>
      <c r="AA15" s="106">
        <f ca="1">IF(ISERR(AA14/$K$14),0,AA14/$K$14)</f>
        <v>1</v>
      </c>
      <c r="AB15" s="107"/>
      <c r="AC15" s="107"/>
      <c r="AD15" s="108"/>
      <c r="AE15" s="106">
        <f ca="1">IF(ISERR(AE14/$K$14),0,AE14/$K$14)</f>
        <v>0</v>
      </c>
      <c r="AF15" s="107"/>
      <c r="AG15" s="107"/>
      <c r="AH15" s="108"/>
      <c r="AI15" s="139"/>
      <c r="AJ15" s="140"/>
      <c r="AK15" s="140"/>
      <c r="AL15" s="141"/>
    </row>
    <row r="31" spans="2:15" ht="15" customHeight="1">
      <c r="B31" s="105" t="s">
        <v>56</v>
      </c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</row>
    <row r="32" spans="2:15"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AE11:AH11"/>
    <mergeCell ref="AI11:AL11"/>
    <mergeCell ref="U12:W12"/>
    <mergeCell ref="X12:Z12"/>
    <mergeCell ref="AA12:AD12"/>
    <mergeCell ref="AE12:AH12"/>
    <mergeCell ref="AI12:AL12"/>
    <mergeCell ref="X14:Z14"/>
    <mergeCell ref="U10:W10"/>
    <mergeCell ref="U14:W14"/>
    <mergeCell ref="AA10:AD10"/>
    <mergeCell ref="AA14:AD14"/>
    <mergeCell ref="U11:W11"/>
    <mergeCell ref="X11:Z11"/>
    <mergeCell ref="AA11:AD11"/>
    <mergeCell ref="B9:C9"/>
    <mergeCell ref="D9:J9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K10:N10"/>
    <mergeCell ref="R10:T10"/>
    <mergeCell ref="R14:T14"/>
    <mergeCell ref="B14:J14"/>
    <mergeCell ref="B15:J15"/>
    <mergeCell ref="B10:C10"/>
    <mergeCell ref="B11:C11"/>
    <mergeCell ref="D11:J11"/>
    <mergeCell ref="K11:N11"/>
    <mergeCell ref="O11:Q11"/>
    <mergeCell ref="R11:T11"/>
    <mergeCell ref="B12:C12"/>
    <mergeCell ref="D12:J12"/>
    <mergeCell ref="K12:N12"/>
    <mergeCell ref="O12:Q12"/>
    <mergeCell ref="R12:T12"/>
    <mergeCell ref="D10:J10"/>
    <mergeCell ref="B8:C8"/>
    <mergeCell ref="D8:J8"/>
    <mergeCell ref="AI9:AL9"/>
    <mergeCell ref="AI14:AL15"/>
    <mergeCell ref="AE10:AH10"/>
    <mergeCell ref="AE14:AH14"/>
    <mergeCell ref="AE15:AH15"/>
    <mergeCell ref="R15:T15"/>
    <mergeCell ref="AA15:AD15"/>
    <mergeCell ref="X10:Z10"/>
    <mergeCell ref="X15:Z15"/>
    <mergeCell ref="K14:N15"/>
    <mergeCell ref="O10:Q10"/>
    <mergeCell ref="O14:Q14"/>
    <mergeCell ref="O15:Q15"/>
    <mergeCell ref="B31:O32"/>
    <mergeCell ref="U15:W15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</mergeCells>
  <phoneticPr fontId="3"/>
  <conditionalFormatting sqref="K13:AL13 K4:AL4 AI3:AL3 K3:AE3 AI10:AL12 K10:AE12">
    <cfRule type="cellIs" dxfId="104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9" t="s">
        <v>8</v>
      </c>
      <c r="C1" s="170"/>
      <c r="D1" s="170"/>
      <c r="E1" s="171"/>
      <c r="F1" s="169" t="s">
        <v>6</v>
      </c>
      <c r="G1" s="170"/>
      <c r="H1" s="170"/>
      <c r="I1" s="170"/>
      <c r="J1" s="170"/>
      <c r="K1" s="170"/>
      <c r="L1" s="170"/>
      <c r="M1" s="170"/>
      <c r="N1" s="170"/>
      <c r="O1" s="171"/>
      <c r="P1" s="180" t="s">
        <v>0</v>
      </c>
      <c r="Q1" s="181"/>
      <c r="R1" s="181"/>
      <c r="S1" s="182"/>
      <c r="T1" s="169" t="s">
        <v>10</v>
      </c>
      <c r="U1" s="170"/>
      <c r="V1" s="170"/>
      <c r="W1" s="170"/>
      <c r="X1" s="170"/>
      <c r="Y1" s="170"/>
      <c r="Z1" s="171"/>
      <c r="AA1" s="172" t="s">
        <v>11</v>
      </c>
      <c r="AB1" s="172"/>
      <c r="AC1" s="173"/>
      <c r="AD1" s="173"/>
      <c r="AE1" s="173"/>
      <c r="AF1" s="174"/>
    </row>
    <row r="2" spans="1:32" ht="20.100000000000001" customHeight="1" thickBot="1">
      <c r="A2" s="64" t="s">
        <v>4</v>
      </c>
      <c r="B2" s="175" t="s">
        <v>8</v>
      </c>
      <c r="C2" s="176"/>
      <c r="D2" s="176"/>
      <c r="E2" s="177"/>
      <c r="F2" s="175" t="s">
        <v>7</v>
      </c>
      <c r="G2" s="176"/>
      <c r="H2" s="177"/>
      <c r="I2" s="165" t="s">
        <v>12</v>
      </c>
      <c r="J2" s="166"/>
      <c r="K2" s="166"/>
      <c r="L2" s="166"/>
      <c r="M2" s="166"/>
      <c r="N2" s="166"/>
      <c r="O2" s="167"/>
      <c r="P2" s="175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78" t="s">
        <v>13</v>
      </c>
      <c r="AB2" s="179"/>
      <c r="AC2" s="175" t="s">
        <v>14</v>
      </c>
      <c r="AD2" s="176"/>
      <c r="AE2" s="176"/>
      <c r="AF2" s="18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4" t="s">
        <v>52</v>
      </c>
      <c r="B4" s="186" t="s">
        <v>22</v>
      </c>
      <c r="C4" s="186"/>
      <c r="D4" s="186"/>
      <c r="E4" s="186"/>
      <c r="F4" s="186"/>
      <c r="G4" s="18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5"/>
      <c r="B5" s="187" t="s">
        <v>23</v>
      </c>
      <c r="C5" s="188"/>
      <c r="D5" s="188"/>
      <c r="E5" s="188"/>
      <c r="F5" s="188"/>
      <c r="G5" s="18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5"/>
      <c r="B6" s="21"/>
      <c r="C6" s="189" t="s">
        <v>24</v>
      </c>
      <c r="D6" s="190"/>
      <c r="E6" s="190"/>
      <c r="F6" s="190"/>
      <c r="G6" s="190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85"/>
      <c r="B7" s="21"/>
      <c r="C7" s="191"/>
      <c r="D7" s="187"/>
      <c r="E7" s="190"/>
      <c r="F7" s="190"/>
      <c r="G7" s="190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85"/>
      <c r="B8" s="21"/>
      <c r="C8" s="191"/>
      <c r="D8" s="187"/>
      <c r="E8" s="190"/>
      <c r="F8" s="190"/>
      <c r="G8" s="190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5"/>
      <c r="B9" s="21"/>
      <c r="C9" s="192" t="s">
        <v>25</v>
      </c>
      <c r="D9" s="190"/>
      <c r="E9" s="190"/>
      <c r="F9" s="190"/>
      <c r="G9" s="190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5"/>
      <c r="B10" s="21"/>
      <c r="C10" s="191"/>
      <c r="D10" s="187"/>
      <c r="E10" s="190"/>
      <c r="F10" s="190"/>
      <c r="G10" s="190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5"/>
      <c r="B11" s="21"/>
      <c r="C11" s="191"/>
      <c r="D11" s="187"/>
      <c r="E11" s="190"/>
      <c r="F11" s="190"/>
      <c r="G11" s="190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5"/>
      <c r="B12" s="21"/>
      <c r="C12" s="187"/>
      <c r="D12" s="190"/>
      <c r="E12" s="190"/>
      <c r="F12" s="190"/>
      <c r="G12" s="190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5"/>
      <c r="B13" s="21"/>
      <c r="C13" s="191"/>
      <c r="D13" s="187"/>
      <c r="E13" s="190"/>
      <c r="F13" s="190"/>
      <c r="G13" s="190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85"/>
      <c r="B14" s="21"/>
      <c r="C14" s="191"/>
      <c r="D14" s="187"/>
      <c r="E14" s="190"/>
      <c r="F14" s="190"/>
      <c r="G14" s="190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1" t="s">
        <v>53</v>
      </c>
      <c r="B15" s="204" t="s">
        <v>26</v>
      </c>
      <c r="C15" s="186"/>
      <c r="D15" s="186"/>
      <c r="E15" s="186"/>
      <c r="F15" s="186"/>
      <c r="G15" s="186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2"/>
      <c r="B16" s="28"/>
      <c r="C16" s="205" t="s">
        <v>27</v>
      </c>
      <c r="D16" s="206"/>
      <c r="E16" s="206"/>
      <c r="F16" s="206"/>
      <c r="G16" s="206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2"/>
      <c r="B17" s="207"/>
      <c r="C17" s="205" t="s">
        <v>28</v>
      </c>
      <c r="D17" s="206"/>
      <c r="E17" s="206"/>
      <c r="F17" s="206"/>
      <c r="G17" s="206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2"/>
      <c r="B18" s="207"/>
      <c r="C18" s="205" t="s">
        <v>29</v>
      </c>
      <c r="D18" s="206"/>
      <c r="E18" s="206"/>
      <c r="F18" s="206"/>
      <c r="G18" s="206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2"/>
      <c r="B19" s="207"/>
      <c r="C19" s="205" t="s">
        <v>30</v>
      </c>
      <c r="D19" s="206"/>
      <c r="E19" s="206"/>
      <c r="F19" s="206"/>
      <c r="G19" s="206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2"/>
      <c r="B20" s="207"/>
      <c r="C20" s="205"/>
      <c r="D20" s="206"/>
      <c r="E20" s="206"/>
      <c r="F20" s="206"/>
      <c r="G20" s="206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2"/>
      <c r="B21" s="207"/>
      <c r="C21" s="205"/>
      <c r="D21" s="206"/>
      <c r="E21" s="206"/>
      <c r="F21" s="206"/>
      <c r="G21" s="206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2"/>
      <c r="B22" s="207"/>
      <c r="C22" s="205"/>
      <c r="D22" s="206"/>
      <c r="E22" s="206"/>
      <c r="F22" s="206"/>
      <c r="G22" s="206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3"/>
      <c r="B23" s="207"/>
      <c r="C23" s="208"/>
      <c r="D23" s="209"/>
      <c r="E23" s="209"/>
      <c r="F23" s="209"/>
      <c r="G23" s="209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3" t="s">
        <v>54</v>
      </c>
      <c r="B24" s="195"/>
      <c r="C24" s="196"/>
      <c r="D24" s="196"/>
      <c r="E24" s="196"/>
      <c r="F24" s="197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4"/>
      <c r="B25" s="198"/>
      <c r="C25" s="199"/>
      <c r="D25" s="199"/>
      <c r="E25" s="199"/>
      <c r="F25" s="200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4"/>
      <c r="B26" s="198"/>
      <c r="C26" s="199"/>
      <c r="D26" s="199"/>
      <c r="E26" s="199"/>
      <c r="F26" s="200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4"/>
      <c r="B27" s="198"/>
      <c r="C27" s="199"/>
      <c r="D27" s="199"/>
      <c r="E27" s="199"/>
      <c r="F27" s="200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60" t="s">
        <v>55</v>
      </c>
      <c r="B28" s="162" t="s">
        <v>47</v>
      </c>
      <c r="C28" s="162"/>
      <c r="D28" s="162"/>
      <c r="E28" s="162"/>
      <c r="F28" s="163" t="str">
        <f>GetBugSheetName()</f>
        <v>Page_Load_</v>
      </c>
      <c r="G28" s="164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61"/>
      <c r="B29" s="165" t="s">
        <v>31</v>
      </c>
      <c r="C29" s="166"/>
      <c r="D29" s="166"/>
      <c r="E29" s="167"/>
      <c r="F29" s="165"/>
      <c r="G29" s="168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  <mergeCell ref="A24:A27"/>
    <mergeCell ref="B24:F24"/>
    <mergeCell ref="B25:F25"/>
    <mergeCell ref="B26:F26"/>
    <mergeCell ref="B27:F27"/>
    <mergeCell ref="A4:A14"/>
    <mergeCell ref="B4:G4"/>
    <mergeCell ref="B5:G5"/>
    <mergeCell ref="C6:G6"/>
    <mergeCell ref="C7:C8"/>
    <mergeCell ref="D7:G7"/>
    <mergeCell ref="D8:G8"/>
    <mergeCell ref="C9:G9"/>
    <mergeCell ref="C10:C11"/>
    <mergeCell ref="D10:G10"/>
    <mergeCell ref="D11:G11"/>
    <mergeCell ref="D14:G14"/>
    <mergeCell ref="C12:G12"/>
    <mergeCell ref="C13:C14"/>
    <mergeCell ref="D13:G13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28:A29"/>
    <mergeCell ref="B28:E28"/>
    <mergeCell ref="F28:G28"/>
    <mergeCell ref="B29:E29"/>
    <mergeCell ref="F29:G29"/>
  </mergeCells>
  <phoneticPr fontId="3"/>
  <conditionalFormatting sqref="H3:AF29">
    <cfRule type="expression" dxfId="103" priority="1" stopIfTrue="1">
      <formula>H$27="NA"</formula>
    </cfRule>
    <cfRule type="expression" dxfId="102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29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M26" sqref="M2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69" t="s">
        <v>88</v>
      </c>
      <c r="C1" s="170"/>
      <c r="D1" s="170"/>
      <c r="E1" s="171"/>
      <c r="F1" s="169" t="s">
        <v>90</v>
      </c>
      <c r="G1" s="170"/>
      <c r="H1" s="170"/>
      <c r="I1" s="170"/>
      <c r="J1" s="170"/>
      <c r="K1" s="170"/>
      <c r="L1" s="170"/>
      <c r="M1" s="170"/>
      <c r="N1" s="170"/>
      <c r="O1" s="171"/>
      <c r="P1" s="180" t="s">
        <v>38</v>
      </c>
      <c r="Q1" s="181"/>
      <c r="R1" s="181"/>
      <c r="S1" s="182"/>
      <c r="T1" s="169" t="s">
        <v>91</v>
      </c>
      <c r="U1" s="170"/>
      <c r="V1" s="170"/>
      <c r="W1" s="170"/>
      <c r="X1" s="170"/>
      <c r="Y1" s="170"/>
      <c r="Z1" s="171"/>
      <c r="AA1" s="172" t="s">
        <v>39</v>
      </c>
      <c r="AB1" s="172"/>
      <c r="AC1" s="173">
        <v>43701</v>
      </c>
      <c r="AD1" s="173"/>
      <c r="AE1" s="173"/>
      <c r="AF1" s="174"/>
    </row>
    <row r="2" spans="1:32" ht="20.100000000000001" customHeight="1" thickBot="1">
      <c r="A2" s="64" t="s">
        <v>40</v>
      </c>
      <c r="B2" s="175" t="s">
        <v>89</v>
      </c>
      <c r="C2" s="176"/>
      <c r="D2" s="176"/>
      <c r="E2" s="177"/>
      <c r="F2" s="175" t="s">
        <v>81</v>
      </c>
      <c r="G2" s="176"/>
      <c r="H2" s="177"/>
      <c r="I2" s="165" t="s">
        <v>81</v>
      </c>
      <c r="J2" s="166"/>
      <c r="K2" s="166"/>
      <c r="L2" s="166"/>
      <c r="M2" s="166"/>
      <c r="N2" s="166"/>
      <c r="O2" s="167"/>
      <c r="P2" s="175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78" t="s">
        <v>41</v>
      </c>
      <c r="AB2" s="179"/>
      <c r="AC2" s="175" t="s">
        <v>42</v>
      </c>
      <c r="AD2" s="176"/>
      <c r="AE2" s="176"/>
      <c r="AF2" s="183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IF(COUNTA(H4:H23)&gt;0,1,"")</f>
        <v>1</v>
      </c>
      <c r="I3" s="12">
        <f t="shared" ref="I3:AF3" si="0">IF(COUNTA(I4:I23)&gt;0,IF(H3&gt;0,H3+1,""),"")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4" t="s">
        <v>59</v>
      </c>
      <c r="B4" s="211" t="s">
        <v>67</v>
      </c>
      <c r="C4" s="212"/>
      <c r="D4" s="212"/>
      <c r="E4" s="212"/>
      <c r="F4" s="212"/>
      <c r="G4" s="21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5"/>
      <c r="B5" s="221" t="s">
        <v>63</v>
      </c>
      <c r="C5" s="222"/>
      <c r="D5" s="222"/>
      <c r="E5" s="222"/>
      <c r="F5" s="222"/>
      <c r="G5" s="223"/>
      <c r="H5" s="74" t="s">
        <v>73</v>
      </c>
      <c r="I5" s="75" t="s">
        <v>74</v>
      </c>
      <c r="J5" s="75" t="s">
        <v>74</v>
      </c>
      <c r="K5" s="75" t="s">
        <v>74</v>
      </c>
      <c r="L5" s="75" t="s">
        <v>74</v>
      </c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5"/>
      <c r="B6" s="227"/>
      <c r="C6" s="229" t="s">
        <v>71</v>
      </c>
      <c r="D6" s="230"/>
      <c r="E6" s="230"/>
      <c r="F6" s="230"/>
      <c r="G6" s="231"/>
      <c r="H6" s="76"/>
      <c r="I6" s="77"/>
      <c r="J6" s="77"/>
      <c r="K6" s="77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85"/>
      <c r="B7" s="228"/>
      <c r="C7" s="73"/>
      <c r="D7" s="224" t="s">
        <v>64</v>
      </c>
      <c r="E7" s="225"/>
      <c r="F7" s="225"/>
      <c r="G7" s="226"/>
      <c r="H7" s="78" t="s">
        <v>73</v>
      </c>
      <c r="I7" s="77"/>
      <c r="J7" s="77"/>
      <c r="K7" s="77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85"/>
      <c r="B8" s="228"/>
      <c r="C8" s="224" t="s">
        <v>70</v>
      </c>
      <c r="D8" s="225"/>
      <c r="E8" s="225"/>
      <c r="F8" s="225"/>
      <c r="G8" s="226"/>
      <c r="H8" s="74"/>
      <c r="I8" s="75" t="s">
        <v>74</v>
      </c>
      <c r="J8" s="75"/>
      <c r="K8" s="7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85"/>
      <c r="B9" s="228"/>
      <c r="C9" s="224" t="s">
        <v>68</v>
      </c>
      <c r="D9" s="225"/>
      <c r="E9" s="225"/>
      <c r="F9" s="225"/>
      <c r="G9" s="226"/>
      <c r="H9" s="77"/>
      <c r="I9" s="77"/>
      <c r="J9" s="75" t="s">
        <v>74</v>
      </c>
      <c r="K9" s="7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85"/>
      <c r="B10" s="228"/>
      <c r="C10" s="234" t="s">
        <v>119</v>
      </c>
      <c r="D10" s="234"/>
      <c r="E10" s="234"/>
      <c r="F10" s="234"/>
      <c r="G10" s="235"/>
      <c r="H10" s="77"/>
      <c r="I10" s="77"/>
      <c r="J10" s="102"/>
      <c r="K10" s="79"/>
      <c r="L10" s="19"/>
      <c r="M10" s="75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85"/>
      <c r="B11" s="228"/>
      <c r="C11" s="224" t="s">
        <v>69</v>
      </c>
      <c r="D11" s="225"/>
      <c r="E11" s="225"/>
      <c r="F11" s="225"/>
      <c r="G11" s="226"/>
      <c r="H11" s="77"/>
      <c r="I11" s="77"/>
      <c r="K11" s="75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85"/>
      <c r="B12" s="228"/>
      <c r="C12" s="232"/>
      <c r="D12" s="221" t="s">
        <v>65</v>
      </c>
      <c r="E12" s="222"/>
      <c r="F12" s="222"/>
      <c r="G12" s="223"/>
      <c r="H12" s="77"/>
      <c r="I12" s="77"/>
      <c r="J12" s="79"/>
      <c r="K12" s="75" t="s">
        <v>74</v>
      </c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 thickBot="1">
      <c r="A13" s="185"/>
      <c r="B13" s="228"/>
      <c r="C13" s="233"/>
      <c r="D13" s="221" t="s">
        <v>66</v>
      </c>
      <c r="E13" s="222"/>
      <c r="F13" s="222"/>
      <c r="G13" s="223"/>
      <c r="H13" s="101"/>
      <c r="I13" s="77"/>
      <c r="J13" s="79"/>
      <c r="K13" s="75"/>
      <c r="L13" s="75" t="s">
        <v>74</v>
      </c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01" t="s">
        <v>60</v>
      </c>
      <c r="B14" s="211" t="s">
        <v>75</v>
      </c>
      <c r="C14" s="212"/>
      <c r="D14" s="212"/>
      <c r="E14" s="212"/>
      <c r="F14" s="212"/>
      <c r="G14" s="213"/>
      <c r="H14" s="83"/>
      <c r="I14" s="84"/>
      <c r="J14" s="84"/>
      <c r="K14" s="84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7"/>
    </row>
    <row r="15" spans="1:32" s="17" customFormat="1" ht="13.5" customHeight="1">
      <c r="A15" s="202"/>
      <c r="B15" s="214"/>
      <c r="C15" s="205" t="s">
        <v>76</v>
      </c>
      <c r="D15" s="206"/>
      <c r="E15" s="206"/>
      <c r="F15" s="206"/>
      <c r="G15" s="210"/>
      <c r="H15" s="85"/>
      <c r="I15" s="79"/>
      <c r="J15" s="79"/>
      <c r="K15" s="79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2"/>
    </row>
    <row r="16" spans="1:32" s="17" customFormat="1" ht="13.5" customHeight="1">
      <c r="A16" s="202"/>
      <c r="B16" s="215"/>
      <c r="C16" s="219"/>
      <c r="D16" s="205" t="s">
        <v>77</v>
      </c>
      <c r="E16" s="206"/>
      <c r="F16" s="206"/>
      <c r="G16" s="210"/>
      <c r="H16" s="78" t="s">
        <v>73</v>
      </c>
      <c r="I16" s="79"/>
      <c r="J16" s="79"/>
      <c r="K16" s="75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2"/>
    </row>
    <row r="17" spans="1:32" s="17" customFormat="1" ht="13.5" customHeight="1">
      <c r="A17" s="202"/>
      <c r="B17" s="215"/>
      <c r="C17" s="220"/>
      <c r="D17" s="205" t="s">
        <v>78</v>
      </c>
      <c r="E17" s="206"/>
      <c r="F17" s="206"/>
      <c r="G17" s="210"/>
      <c r="H17" s="78" t="s">
        <v>73</v>
      </c>
      <c r="I17" s="78"/>
      <c r="K17" s="78" t="s">
        <v>73</v>
      </c>
      <c r="L17" s="78" t="s">
        <v>73</v>
      </c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2"/>
    </row>
    <row r="18" spans="1:32" s="17" customFormat="1" ht="13.5" customHeight="1">
      <c r="A18" s="202"/>
      <c r="B18" s="215"/>
      <c r="C18" s="205" t="s">
        <v>79</v>
      </c>
      <c r="D18" s="206"/>
      <c r="E18" s="206"/>
      <c r="F18" s="206"/>
      <c r="G18" s="210"/>
      <c r="H18" s="86"/>
      <c r="I18" s="79"/>
      <c r="J18" s="79"/>
      <c r="K18" s="79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2"/>
    </row>
    <row r="19" spans="1:32" s="17" customFormat="1" ht="13.5" customHeight="1">
      <c r="A19" s="202"/>
      <c r="B19" s="215"/>
      <c r="C19" s="71"/>
      <c r="D19" s="205" t="s">
        <v>80</v>
      </c>
      <c r="E19" s="206"/>
      <c r="F19" s="206"/>
      <c r="G19" s="210"/>
      <c r="H19" s="78" t="s">
        <v>73</v>
      </c>
      <c r="I19" s="78" t="s">
        <v>73</v>
      </c>
      <c r="J19" s="78" t="s">
        <v>73</v>
      </c>
      <c r="K19" s="78" t="s">
        <v>73</v>
      </c>
      <c r="L19" s="78" t="s">
        <v>73</v>
      </c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2"/>
    </row>
    <row r="20" spans="1:32" s="17" customFormat="1" ht="13.5" customHeight="1">
      <c r="A20" s="202"/>
      <c r="B20" s="215"/>
      <c r="C20" s="205" t="s">
        <v>68</v>
      </c>
      <c r="D20" s="206"/>
      <c r="E20" s="206"/>
      <c r="F20" s="206"/>
      <c r="G20" s="210"/>
      <c r="H20" s="76"/>
      <c r="I20" s="77"/>
      <c r="J20" s="79"/>
      <c r="K20" s="79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2"/>
    </row>
    <row r="21" spans="1:32" s="17" customFormat="1" ht="13.5" customHeight="1" thickBot="1">
      <c r="A21" s="202"/>
      <c r="B21" s="215"/>
      <c r="C21" s="98"/>
      <c r="D21" s="216" t="s">
        <v>82</v>
      </c>
      <c r="E21" s="217"/>
      <c r="F21" s="217"/>
      <c r="G21" s="218"/>
      <c r="H21" s="87"/>
      <c r="I21" s="103"/>
      <c r="J21" s="78" t="s">
        <v>73</v>
      </c>
      <c r="K21" s="104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2"/>
    </row>
    <row r="22" spans="1:32" s="17" customFormat="1" ht="13.5" customHeight="1" thickBot="1">
      <c r="A22" s="202"/>
      <c r="B22" s="215"/>
      <c r="C22" s="205" t="s">
        <v>120</v>
      </c>
      <c r="D22" s="206"/>
      <c r="E22" s="206"/>
      <c r="F22" s="206"/>
      <c r="G22" s="210"/>
      <c r="H22" s="87"/>
      <c r="K22" s="88"/>
      <c r="L22" s="81"/>
      <c r="M22" s="75" t="s">
        <v>74</v>
      </c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2"/>
    </row>
    <row r="23" spans="1:32" s="17" customFormat="1" ht="24" customHeight="1">
      <c r="A23" s="193" t="s">
        <v>61</v>
      </c>
      <c r="B23" s="195"/>
      <c r="C23" s="196"/>
      <c r="D23" s="196"/>
      <c r="E23" s="196"/>
      <c r="F23" s="197"/>
      <c r="G23" s="35" t="s">
        <v>43</v>
      </c>
      <c r="H23" s="36" t="s">
        <v>83</v>
      </c>
      <c r="I23" s="37" t="s">
        <v>84</v>
      </c>
      <c r="J23" s="37" t="s">
        <v>84</v>
      </c>
      <c r="K23" s="37" t="s">
        <v>84</v>
      </c>
      <c r="L23" s="37" t="s">
        <v>85</v>
      </c>
      <c r="M23" s="37" t="s">
        <v>106</v>
      </c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8"/>
    </row>
    <row r="24" spans="1:32" s="17" customFormat="1" ht="27" customHeight="1">
      <c r="A24" s="194"/>
      <c r="B24" s="198"/>
      <c r="C24" s="199"/>
      <c r="D24" s="199"/>
      <c r="E24" s="199"/>
      <c r="F24" s="200"/>
      <c r="G24" s="39" t="s">
        <v>44</v>
      </c>
      <c r="H24" s="40" t="s">
        <v>86</v>
      </c>
      <c r="I24" s="40" t="s">
        <v>86</v>
      </c>
      <c r="J24" s="40" t="s">
        <v>86</v>
      </c>
      <c r="K24" s="40" t="s">
        <v>86</v>
      </c>
      <c r="L24" s="40" t="s">
        <v>86</v>
      </c>
      <c r="M24" s="97" t="s">
        <v>121</v>
      </c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2"/>
    </row>
    <row r="25" spans="1:32" s="17" customFormat="1" ht="27" customHeight="1">
      <c r="A25" s="194"/>
      <c r="B25" s="198"/>
      <c r="C25" s="199"/>
      <c r="D25" s="199"/>
      <c r="E25" s="199"/>
      <c r="F25" s="200"/>
      <c r="G25" s="39" t="s">
        <v>45</v>
      </c>
      <c r="H25" s="43">
        <v>43701</v>
      </c>
      <c r="I25" s="43">
        <v>43701</v>
      </c>
      <c r="J25" s="43">
        <v>43701</v>
      </c>
      <c r="K25" s="43">
        <v>43701</v>
      </c>
      <c r="L25" s="43">
        <v>43701</v>
      </c>
      <c r="M25" s="44">
        <v>43705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5"/>
    </row>
    <row r="26" spans="1:32" s="17" customFormat="1" ht="24.75" customHeight="1">
      <c r="A26" s="194"/>
      <c r="B26" s="198"/>
      <c r="C26" s="199"/>
      <c r="D26" s="199"/>
      <c r="E26" s="199"/>
      <c r="F26" s="200"/>
      <c r="G26" s="46" t="s">
        <v>46</v>
      </c>
      <c r="H26" s="40" t="s">
        <v>87</v>
      </c>
      <c r="I26" s="40" t="s">
        <v>87</v>
      </c>
      <c r="J26" s="40" t="s">
        <v>87</v>
      </c>
      <c r="K26" s="40" t="s">
        <v>87</v>
      </c>
      <c r="L26" s="40" t="s">
        <v>87</v>
      </c>
      <c r="M26" s="97" t="s">
        <v>87</v>
      </c>
      <c r="N26" s="69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2"/>
    </row>
    <row r="27" spans="1:32" s="17" customFormat="1" ht="24.75" customHeight="1">
      <c r="A27" s="160" t="s">
        <v>62</v>
      </c>
      <c r="B27" s="162" t="s">
        <v>47</v>
      </c>
      <c r="C27" s="162"/>
      <c r="D27" s="162"/>
      <c r="E27" s="162"/>
      <c r="F27" s="163" t="str">
        <f>GetBugSheetName()</f>
        <v>Page_Load_</v>
      </c>
      <c r="G27" s="164"/>
      <c r="H27" s="60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4"/>
    </row>
    <row r="28" spans="1:32" s="17" customFormat="1" ht="36" customHeight="1" thickBot="1">
      <c r="A28" s="161"/>
      <c r="B28" s="165" t="s">
        <v>48</v>
      </c>
      <c r="C28" s="166"/>
      <c r="D28" s="166"/>
      <c r="E28" s="167"/>
      <c r="F28" s="165"/>
      <c r="G28" s="168"/>
      <c r="H28" s="61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 t="str">
        <f t="shared" ref="S28:AF28" si="1">IF(S27="","",(SUM(LEN(S27)-LEN(SUBSTITUTE(S27,",","")))/LEN(",")) + 1 )</f>
        <v/>
      </c>
      <c r="T28" s="55" t="str">
        <f t="shared" si="1"/>
        <v/>
      </c>
      <c r="U28" s="55" t="str">
        <f t="shared" si="1"/>
        <v/>
      </c>
      <c r="V28" s="55" t="str">
        <f t="shared" si="1"/>
        <v/>
      </c>
      <c r="W28" s="55" t="str">
        <f t="shared" si="1"/>
        <v/>
      </c>
      <c r="X28" s="55" t="str">
        <f t="shared" si="1"/>
        <v/>
      </c>
      <c r="Y28" s="55" t="str">
        <f t="shared" si="1"/>
        <v/>
      </c>
      <c r="Z28" s="55" t="str">
        <f t="shared" si="1"/>
        <v/>
      </c>
      <c r="AA28" s="55" t="str">
        <f t="shared" si="1"/>
        <v/>
      </c>
      <c r="AB28" s="55" t="str">
        <f t="shared" si="1"/>
        <v/>
      </c>
      <c r="AC28" s="55" t="str">
        <f t="shared" si="1"/>
        <v/>
      </c>
      <c r="AD28" s="55" t="str">
        <f t="shared" si="1"/>
        <v/>
      </c>
      <c r="AE28" s="55" t="str">
        <f t="shared" si="1"/>
        <v/>
      </c>
      <c r="AF28" s="56" t="str">
        <f t="shared" si="1"/>
        <v/>
      </c>
    </row>
    <row r="29" spans="1:32" s="17" customFormat="1">
      <c r="H29" s="47"/>
      <c r="I29" s="47"/>
      <c r="J29" s="47"/>
      <c r="K29" s="47"/>
      <c r="L29" s="47"/>
      <c r="M29" s="47"/>
      <c r="N29" s="48"/>
      <c r="O29" s="49"/>
      <c r="P29" s="47"/>
      <c r="Q29" s="47"/>
      <c r="R29" s="47"/>
      <c r="S29" s="47"/>
      <c r="T29" s="47"/>
      <c r="U29" s="47"/>
      <c r="V29" s="47"/>
    </row>
  </sheetData>
  <sheetProtection insertRows="0"/>
  <protectedRanges>
    <protectedRange sqref="B1:O2 P2 T1 AC1:AF2" name="Range1_1"/>
    <protectedRange sqref="L23:AF23 H24:AF27" name="Range3_1_1"/>
    <protectedRange sqref="H4:AF4 L20:L22 M5:AF5 L6:AF9 L14:L16 L18 M13:AF21 L11:AF12 L10 N10:AF10 N22:AF22" name="Range2_1_1"/>
    <protectedRange sqref="B4:G9 B11:G13 B10" name="Range2_1_1_1"/>
    <protectedRange sqref="L5 K5:K13 J12:J13 J5:J10 H5:I13 L13 M10 M22" name="Range2_1_1_2"/>
    <protectedRange sqref="B14:G21 B22" name="Range2_1_3"/>
    <protectedRange sqref="H18:K18 H14:K15 I16:J16 H20:H22 I20:I21 K20:K21 J20" name="Range2_1_3_1"/>
    <protectedRange sqref="H16 J21 K16 H17:I17 K17:L17 H19:L19" name="Range2_1_1_3"/>
    <protectedRange sqref="G10 C10:E10" name="Range2_1_4_1"/>
    <protectedRange sqref="C22:G22" name="Range2_1_8_1_1"/>
  </protectedRanges>
  <mergeCells count="47">
    <mergeCell ref="A4:A13"/>
    <mergeCell ref="C10:G10"/>
    <mergeCell ref="B6:B13"/>
    <mergeCell ref="C6:G6"/>
    <mergeCell ref="D7:G7"/>
    <mergeCell ref="C9:G9"/>
    <mergeCell ref="C11:G11"/>
    <mergeCell ref="C12:C13"/>
    <mergeCell ref="D12:G12"/>
    <mergeCell ref="D13:G13"/>
    <mergeCell ref="A27:A28"/>
    <mergeCell ref="B27:E27"/>
    <mergeCell ref="F27:G27"/>
    <mergeCell ref="B28:E28"/>
    <mergeCell ref="F28:G28"/>
    <mergeCell ref="D17:G17"/>
    <mergeCell ref="AA1:AB1"/>
    <mergeCell ref="AC1:AF1"/>
    <mergeCell ref="AC2:AF2"/>
    <mergeCell ref="B4:G4"/>
    <mergeCell ref="B5:G5"/>
    <mergeCell ref="P2:Z2"/>
    <mergeCell ref="AA2:AB2"/>
    <mergeCell ref="T1:Z1"/>
    <mergeCell ref="F2:H2"/>
    <mergeCell ref="B1:E1"/>
    <mergeCell ref="F1:O1"/>
    <mergeCell ref="B2:E2"/>
    <mergeCell ref="I2:O2"/>
    <mergeCell ref="P1:S1"/>
    <mergeCell ref="C8:G8"/>
    <mergeCell ref="C22:G22"/>
    <mergeCell ref="C18:G18"/>
    <mergeCell ref="B26:F26"/>
    <mergeCell ref="A14:A22"/>
    <mergeCell ref="B14:G14"/>
    <mergeCell ref="D19:G19"/>
    <mergeCell ref="A23:A26"/>
    <mergeCell ref="B23:F23"/>
    <mergeCell ref="B15:B22"/>
    <mergeCell ref="C20:G20"/>
    <mergeCell ref="D21:G21"/>
    <mergeCell ref="B24:F24"/>
    <mergeCell ref="B25:F25"/>
    <mergeCell ref="C15:G15"/>
    <mergeCell ref="C16:C17"/>
    <mergeCell ref="D16:G16"/>
  </mergeCells>
  <phoneticPr fontId="3"/>
  <conditionalFormatting sqref="J3:J10 K3:K28 J12:J16 I24:L26 H3:H28 I3:I21 I23:J28 L18:L28 J18:J20 L3:L16 M3:AF28">
    <cfRule type="expression" dxfId="101" priority="113" stopIfTrue="1">
      <formula>H$26="NA"</formula>
    </cfRule>
    <cfRule type="expression" dxfId="100" priority="114" stopIfTrue="1">
      <formula>H$26="NG"</formula>
    </cfRule>
  </conditionalFormatting>
  <conditionalFormatting sqref="I6:K6 H8 H5:H6">
    <cfRule type="expression" dxfId="99" priority="30" stopIfTrue="1">
      <formula>#REF!="NG"</formula>
    </cfRule>
    <cfRule type="expression" dxfId="98" priority="31" stopIfTrue="1">
      <formula>H$24="NA"</formula>
    </cfRule>
    <cfRule type="expression" dxfId="97" priority="32" stopIfTrue="1">
      <formula>H$24="NG"</formula>
    </cfRule>
  </conditionalFormatting>
  <conditionalFormatting sqref="H7:K7 I5:K5 H9:I13 K8:K13 I8:J8 J12:J13 J9:J10">
    <cfRule type="expression" dxfId="96" priority="27" stopIfTrue="1">
      <formula>#REF!="NG"</formula>
    </cfRule>
    <cfRule type="expression" dxfId="95" priority="28" stopIfTrue="1">
      <formula>I$24="NA"</formula>
    </cfRule>
    <cfRule type="expression" dxfId="94" priority="29" stopIfTrue="1">
      <formula>I$24="NG"</formula>
    </cfRule>
  </conditionalFormatting>
  <conditionalFormatting sqref="L5">
    <cfRule type="expression" dxfId="93" priority="24" stopIfTrue="1">
      <formula>#REF!="NG"</formula>
    </cfRule>
    <cfRule type="expression" dxfId="92" priority="25" stopIfTrue="1">
      <formula>M$24="NA"</formula>
    </cfRule>
    <cfRule type="expression" dxfId="91" priority="26" stopIfTrue="1">
      <formula>M$24="NG"</formula>
    </cfRule>
  </conditionalFormatting>
  <conditionalFormatting sqref="H14:K15 H20:H22 I20:K21">
    <cfRule type="expression" dxfId="90" priority="18" stopIfTrue="1">
      <formula>#REF!="NG"</formula>
    </cfRule>
    <cfRule type="expression" dxfId="89" priority="19" stopIfTrue="1">
      <formula>H$25="NA"</formula>
    </cfRule>
    <cfRule type="expression" dxfId="88" priority="20" stopIfTrue="1">
      <formula>H$25="NG"</formula>
    </cfRule>
  </conditionalFormatting>
  <conditionalFormatting sqref="J16 H16:I19 K16:K19 J18:J19">
    <cfRule type="expression" dxfId="87" priority="15" stopIfTrue="1">
      <formula>#REF!="NG"</formula>
    </cfRule>
    <cfRule type="expression" dxfId="86" priority="16" stopIfTrue="1">
      <formula>I$25="NA"</formula>
    </cfRule>
    <cfRule type="expression" dxfId="85" priority="17" stopIfTrue="1">
      <formula>I$25="NG"</formula>
    </cfRule>
  </conditionalFormatting>
  <conditionalFormatting sqref="L17">
    <cfRule type="expression" dxfId="84" priority="117" stopIfTrue="1">
      <formula>J$26="NA"</formula>
    </cfRule>
    <cfRule type="expression" dxfId="83" priority="118" stopIfTrue="1">
      <formula>J$26="NG"</formula>
    </cfRule>
  </conditionalFormatting>
  <conditionalFormatting sqref="L17">
    <cfRule type="expression" dxfId="82" priority="122" stopIfTrue="1">
      <formula>#REF!="NG"</formula>
    </cfRule>
    <cfRule type="expression" dxfId="81" priority="123" stopIfTrue="1">
      <formula>K$25="NA"</formula>
    </cfRule>
    <cfRule type="expression" dxfId="80" priority="124" stopIfTrue="1">
      <formula>K$25="NG"</formula>
    </cfRule>
  </conditionalFormatting>
  <conditionalFormatting sqref="J21">
    <cfRule type="expression" dxfId="79" priority="127" stopIfTrue="1">
      <formula>I$26="NA"</formula>
    </cfRule>
    <cfRule type="expression" dxfId="78" priority="128" stopIfTrue="1">
      <formula>I$26="NG"</formula>
    </cfRule>
  </conditionalFormatting>
  <conditionalFormatting sqref="L19">
    <cfRule type="expression" dxfId="77" priority="12" stopIfTrue="1">
      <formula>#REF!="NG"</formula>
    </cfRule>
    <cfRule type="expression" dxfId="76" priority="13" stopIfTrue="1">
      <formula>M$25="NA"</formula>
    </cfRule>
    <cfRule type="expression" dxfId="75" priority="14" stopIfTrue="1">
      <formula>M$25="NG"</formula>
    </cfRule>
  </conditionalFormatting>
  <conditionalFormatting sqref="H23:K23">
    <cfRule type="expression" dxfId="74" priority="10" stopIfTrue="1">
      <formula>H$25="NA"</formula>
    </cfRule>
    <cfRule type="expression" dxfId="73" priority="11" stopIfTrue="1">
      <formula>H$25="NG"</formula>
    </cfRule>
  </conditionalFormatting>
  <conditionalFormatting sqref="L13">
    <cfRule type="expression" dxfId="72" priority="7" stopIfTrue="1">
      <formula>#REF!="NG"</formula>
    </cfRule>
    <cfRule type="expression" dxfId="71" priority="8" stopIfTrue="1">
      <formula>M$24="NA"</formula>
    </cfRule>
    <cfRule type="expression" dxfId="70" priority="9" stopIfTrue="1">
      <formula>M$24="NG"</formula>
    </cfRule>
  </conditionalFormatting>
  <conditionalFormatting sqref="M10">
    <cfRule type="expression" dxfId="69" priority="4" stopIfTrue="1">
      <formula>#REF!="NG"</formula>
    </cfRule>
    <cfRule type="expression" dxfId="68" priority="5" stopIfTrue="1">
      <formula>N$24="NA"</formula>
    </cfRule>
    <cfRule type="expression" dxfId="67" priority="6" stopIfTrue="1">
      <formula>N$24="NG"</formula>
    </cfRule>
  </conditionalFormatting>
  <conditionalFormatting sqref="M22">
    <cfRule type="expression" dxfId="66" priority="1" stopIfTrue="1">
      <formula>#REF!="NG"</formula>
    </cfRule>
    <cfRule type="expression" dxfId="65" priority="2" stopIfTrue="1">
      <formula>N$24="NA"</formula>
    </cfRule>
    <cfRule type="expression" dxfId="64" priority="3" stopIfTrue="1">
      <formula>N$24="NG"</formula>
    </cfRule>
  </conditionalFormatting>
  <dataValidations count="10">
    <dataValidation type="list" allowBlank="1" showInputMessage="1" showErrorMessage="1" sqref="H23:AF23">
      <formula1>"N, A, B"</formula1>
    </dataValidation>
    <dataValidation type="list" allowBlank="1" showInputMessage="1" showErrorMessage="1" sqref="H26:AF26">
      <formula1>"OK, NG, NA, PT"</formula1>
    </dataValidation>
    <dataValidation allowBlank="1" showInputMessage="1" showErrorMessage="1" promptTitle="PCL sheet name" prompt=" " sqref="F27:G27"/>
    <dataValidation allowBlank="1" showInputMessage="1" showErrorMessage="1" promptTitle="Bug ID" prompt="Unique ID throughout the project._x000a_For every Bug found during Test as well as Re-Test, a new Bug ID needs to be entered here (as a comma seperated value)" sqref="B27:E2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6"/>
    <dataValidation allowBlank="1" showInputMessage="1" showErrorMessage="1" promptTitle="Testing Date" prompt="Date on which test was performed in yyyy/mm/dd format" sqref="G25"/>
    <dataValidation allowBlank="1" showInputMessage="1" showErrorMessage="1" promptTitle="Enter" prompt="Name of the person who performed the test" sqref="G24"/>
    <dataValidation allowBlank="1" showInputMessage="1" showErrorMessage="1" promptTitle="Condition Type" prompt="N : Normal _x000a_A : Abnormal _x000a_B : Boundary" sqref="G23"/>
    <dataValidation allowBlank="1" showInputMessage="1" showErrorMessage="1" promptTitle="Check points" prompt="that need / need not be executed" sqref="A14:A22"/>
    <dataValidation allowBlank="1" showInputMessage="1" showErrorMessage="1" promptTitle="Input conditions" prompt="that need to be checked." sqref="A4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26"/>
  <sheetViews>
    <sheetView tabSelected="1" view="pageBreakPreview" zoomScale="85" zoomScaleNormal="70" workbookViewId="0">
      <pane xSplit="7" ySplit="3" topLeftCell="H10" activePane="bottomRight" state="frozen"/>
      <selection activeCell="A5" sqref="A5"/>
      <selection pane="topRight" activeCell="A5" sqref="A5"/>
      <selection pane="bottomLeft" activeCell="A5" sqref="A5"/>
      <selection pane="bottomRight" activeCell="O23" sqref="O23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9" t="s">
        <v>8</v>
      </c>
      <c r="C1" s="170"/>
      <c r="D1" s="170"/>
      <c r="E1" s="171"/>
      <c r="F1" s="169" t="s">
        <v>6</v>
      </c>
      <c r="G1" s="170"/>
      <c r="H1" s="170"/>
      <c r="I1" s="170"/>
      <c r="J1" s="170"/>
      <c r="K1" s="170"/>
      <c r="L1" s="170"/>
      <c r="M1" s="170"/>
      <c r="N1" s="170"/>
      <c r="O1" s="171"/>
      <c r="P1" s="180" t="s">
        <v>0</v>
      </c>
      <c r="Q1" s="181"/>
      <c r="R1" s="181"/>
      <c r="S1" s="182"/>
      <c r="T1" s="169" t="s">
        <v>10</v>
      </c>
      <c r="U1" s="170"/>
      <c r="V1" s="170"/>
      <c r="W1" s="170"/>
      <c r="X1" s="170"/>
      <c r="Y1" s="170"/>
      <c r="Z1" s="171"/>
      <c r="AA1" s="172" t="s">
        <v>11</v>
      </c>
      <c r="AB1" s="172"/>
      <c r="AC1" s="173"/>
      <c r="AD1" s="173"/>
      <c r="AE1" s="173"/>
      <c r="AF1" s="174"/>
    </row>
    <row r="2" spans="1:32" ht="20.100000000000001" customHeight="1" thickBot="1">
      <c r="A2" s="64" t="s">
        <v>4</v>
      </c>
      <c r="B2" s="175" t="s">
        <v>8</v>
      </c>
      <c r="C2" s="176"/>
      <c r="D2" s="176"/>
      <c r="E2" s="177"/>
      <c r="F2" s="175" t="s">
        <v>7</v>
      </c>
      <c r="G2" s="176"/>
      <c r="H2" s="177"/>
      <c r="I2" s="165" t="s">
        <v>12</v>
      </c>
      <c r="J2" s="166"/>
      <c r="K2" s="166"/>
      <c r="L2" s="166"/>
      <c r="M2" s="166"/>
      <c r="N2" s="166"/>
      <c r="O2" s="167"/>
      <c r="P2" s="175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78" t="s">
        <v>13</v>
      </c>
      <c r="AB2" s="179"/>
      <c r="AC2" s="175" t="s">
        <v>14</v>
      </c>
      <c r="AD2" s="176"/>
      <c r="AE2" s="176"/>
      <c r="AF2" s="18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IF(COUNTA(H4:H20)&gt;0,1,"")</f>
        <v>1</v>
      </c>
      <c r="I3" s="12">
        <f>IF(COUNTA(I4:I20)&gt;0,IF(H3&gt;0,H3+1,""),"")</f>
        <v>2</v>
      </c>
      <c r="J3" s="12">
        <f>IF(COUNTA(J4:J20)&gt;0,IF(I3&gt;0,I3+1,""),"")</f>
        <v>3</v>
      </c>
      <c r="K3" s="12">
        <f>IF(COUNTA(K4:K20)&gt;0,IF(J3&gt;0,J3+1,""),"")</f>
        <v>4</v>
      </c>
      <c r="L3" s="12">
        <f>IF(COUNTA(L4:L20)&gt;0,IF(K3&gt;0,K3+1,""),"")</f>
        <v>5</v>
      </c>
      <c r="M3" s="12">
        <f>IF(COUNTA(M4:M20)&gt;0,IF(L3&gt;0,L3+1,""),"")</f>
        <v>6</v>
      </c>
      <c r="N3" s="12">
        <f>IF(COUNTA(N4:N20)&gt;0,IF(M3&gt;0,M3+1,""),"")</f>
        <v>7</v>
      </c>
      <c r="O3" s="12">
        <f>IF(COUNTA(O4:O20)&gt;0,IF(N3&gt;0,N3+1,""),"")</f>
        <v>8</v>
      </c>
      <c r="P3" s="12" t="str">
        <f>IF(COUNTA(P4:P20)&gt;0,IF(O3&gt;0,O3+1,""),"")</f>
        <v/>
      </c>
      <c r="Q3" s="12" t="str">
        <f>IF(COUNTA(Q4:Q20)&gt;0,IF(P3&gt;0,P3+1,""),"")</f>
        <v/>
      </c>
      <c r="R3" s="12" t="str">
        <f>IF(COUNTA(R4:R20)&gt;0,IF(Q3&gt;0,Q3+1,""),"")</f>
        <v/>
      </c>
      <c r="S3" s="12" t="str">
        <f>IF(COUNTA(S4:S20)&gt;0,IF(R3&gt;0,R3+1,""),"")</f>
        <v/>
      </c>
      <c r="T3" s="12" t="str">
        <f>IF(COUNTA(T4:T20)&gt;0,IF(S3&gt;0,S3+1,""),"")</f>
        <v/>
      </c>
      <c r="U3" s="12" t="str">
        <f>IF(COUNTA(U4:U20)&gt;0,IF(T3&gt;0,T3+1,""),"")</f>
        <v/>
      </c>
      <c r="V3" s="12" t="str">
        <f>IF(COUNTA(V4:V20)&gt;0,IF(U3&gt;0,U3+1,""),"")</f>
        <v/>
      </c>
      <c r="W3" s="12" t="str">
        <f>IF(COUNTA(W4:W20)&gt;0,IF(V3&gt;0,V3+1,""),"")</f>
        <v/>
      </c>
      <c r="X3" s="12" t="str">
        <f>IF(COUNTA(X4:X20)&gt;0,IF(W3&gt;0,W3+1,""),"")</f>
        <v/>
      </c>
      <c r="Y3" s="12" t="str">
        <f>IF(COUNTA(Y4:Y20)&gt;0,IF(X3&gt;0,X3+1,""),"")</f>
        <v/>
      </c>
      <c r="Z3" s="12" t="str">
        <f>IF(COUNTA(Z4:Z20)&gt;0,IF(Y3&gt;0,Y3+1,""),"")</f>
        <v/>
      </c>
      <c r="AA3" s="12" t="str">
        <f>IF(COUNTA(AA4:AA20)&gt;0,IF(Z3&gt;0,Z3+1,""),"")</f>
        <v/>
      </c>
      <c r="AB3" s="12" t="str">
        <f>IF(COUNTA(AB4:AB20)&gt;0,IF(AA3&gt;0,AA3+1,""),"")</f>
        <v/>
      </c>
      <c r="AC3" s="12" t="str">
        <f>IF(COUNTA(AC4:AC20)&gt;0,IF(AB3&gt;0,AB3+1,""),"")</f>
        <v/>
      </c>
      <c r="AD3" s="12" t="str">
        <f>IF(COUNTA(AD4:AD20)&gt;0,IF(AC3&gt;0,AC3+1,""),"")</f>
        <v/>
      </c>
      <c r="AE3" s="12" t="str">
        <f>IF(COUNTA(AE4:AE20)&gt;0,IF(AD3&gt;0,AD3+1,""),"")</f>
        <v/>
      </c>
      <c r="AF3" s="13" t="str">
        <f>IF(COUNTA(AF4:AF20)&gt;0,IF(AE3&gt;0,AE3+1,""),"")</f>
        <v/>
      </c>
    </row>
    <row r="4" spans="1:32" s="17" customFormat="1" ht="13.5" customHeight="1">
      <c r="A4" s="184" t="s">
        <v>52</v>
      </c>
      <c r="B4" s="211" t="s">
        <v>67</v>
      </c>
      <c r="C4" s="212"/>
      <c r="D4" s="212"/>
      <c r="E4" s="212"/>
      <c r="F4" s="212"/>
      <c r="G4" s="21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5"/>
      <c r="B5" s="221" t="s">
        <v>99</v>
      </c>
      <c r="C5" s="222"/>
      <c r="D5" s="222"/>
      <c r="E5" s="222"/>
      <c r="F5" s="222"/>
      <c r="G5" s="223"/>
      <c r="I5" s="78"/>
      <c r="K5" s="74" t="s">
        <v>73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5"/>
      <c r="B6" s="227"/>
      <c r="C6" s="229" t="s">
        <v>71</v>
      </c>
      <c r="D6" s="230"/>
      <c r="E6" s="230"/>
      <c r="F6" s="230"/>
      <c r="G6" s="231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85"/>
      <c r="B7" s="228"/>
      <c r="C7" s="100"/>
      <c r="D7" s="230" t="s">
        <v>96</v>
      </c>
      <c r="E7" s="230"/>
      <c r="F7" s="230"/>
      <c r="G7" s="231"/>
      <c r="H7" s="244"/>
      <c r="I7" s="78" t="s">
        <v>72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85"/>
      <c r="B8" s="228"/>
      <c r="C8" s="100"/>
      <c r="D8" s="190" t="s">
        <v>122</v>
      </c>
      <c r="E8" s="190"/>
      <c r="F8" s="190"/>
      <c r="G8" s="245"/>
      <c r="H8" s="244"/>
      <c r="I8" s="23"/>
      <c r="J8" s="78" t="s">
        <v>72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5"/>
      <c r="B9" s="228"/>
      <c r="C9" s="239" t="s">
        <v>97</v>
      </c>
      <c r="D9" s="240"/>
      <c r="E9" s="240"/>
      <c r="F9" s="240"/>
      <c r="G9" s="241"/>
      <c r="H9" s="22"/>
      <c r="J9" s="23"/>
      <c r="K9" s="78" t="s">
        <v>73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5"/>
      <c r="B10" s="228"/>
      <c r="C10" s="239" t="s">
        <v>110</v>
      </c>
      <c r="D10" s="240"/>
      <c r="E10" s="240"/>
      <c r="F10" s="240"/>
      <c r="G10" s="241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5"/>
      <c r="B11" s="228"/>
      <c r="C11" s="94"/>
      <c r="D11" s="221" t="s">
        <v>111</v>
      </c>
      <c r="E11" s="222"/>
      <c r="F11" s="222"/>
      <c r="G11" s="222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 thickBot="1">
      <c r="A12" s="185"/>
      <c r="B12" s="228"/>
      <c r="C12" s="94"/>
      <c r="D12" s="221" t="s">
        <v>112</v>
      </c>
      <c r="E12" s="222"/>
      <c r="F12" s="222"/>
      <c r="G12" s="222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1" t="s">
        <v>53</v>
      </c>
      <c r="B13" s="211" t="s">
        <v>75</v>
      </c>
      <c r="C13" s="212"/>
      <c r="D13" s="212"/>
      <c r="E13" s="212"/>
      <c r="F13" s="212"/>
      <c r="G13" s="213"/>
      <c r="H13" s="25"/>
      <c r="I13" s="26"/>
      <c r="J13" s="26"/>
      <c r="K13" s="67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7"/>
    </row>
    <row r="14" spans="1:32" s="17" customFormat="1" ht="13.5" customHeight="1" thickBot="1">
      <c r="A14" s="202"/>
      <c r="B14" s="92"/>
      <c r="C14" s="236" t="s">
        <v>98</v>
      </c>
      <c r="D14" s="237"/>
      <c r="E14" s="237"/>
      <c r="F14" s="237"/>
      <c r="G14" s="238"/>
      <c r="H14" s="80"/>
      <c r="J14" s="81"/>
      <c r="K14" s="78" t="s">
        <v>73</v>
      </c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2"/>
    </row>
    <row r="15" spans="1:32" s="17" customFormat="1" ht="13.5" customHeight="1">
      <c r="A15" s="202"/>
      <c r="B15" s="92"/>
      <c r="C15" s="242" t="s">
        <v>113</v>
      </c>
      <c r="D15" s="243"/>
      <c r="E15" s="243"/>
      <c r="F15" s="243"/>
      <c r="G15" s="243"/>
      <c r="H15" s="80"/>
      <c r="I15" s="95"/>
      <c r="K15" s="90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2"/>
    </row>
    <row r="16" spans="1:32" s="17" customFormat="1" ht="13.5" customHeight="1">
      <c r="A16" s="202"/>
      <c r="B16" s="92"/>
      <c r="C16" s="96"/>
      <c r="D16" s="221" t="s">
        <v>114</v>
      </c>
      <c r="E16" s="222"/>
      <c r="F16" s="222"/>
      <c r="G16" s="222"/>
      <c r="H16" s="80"/>
      <c r="I16" s="95"/>
      <c r="L16" s="78" t="s">
        <v>73</v>
      </c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2"/>
    </row>
    <row r="17" spans="1:32" s="17" customFormat="1" ht="13.5" customHeight="1">
      <c r="A17" s="202"/>
      <c r="B17" s="92"/>
      <c r="C17" s="96"/>
      <c r="D17" s="221" t="s">
        <v>115</v>
      </c>
      <c r="E17" s="222"/>
      <c r="F17" s="222"/>
      <c r="G17" s="222"/>
      <c r="H17" s="80"/>
      <c r="I17" s="95"/>
      <c r="M17" s="78" t="s">
        <v>73</v>
      </c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2"/>
    </row>
    <row r="18" spans="1:32" s="17" customFormat="1" ht="13.5" customHeight="1">
      <c r="A18" s="202"/>
      <c r="B18" s="92"/>
      <c r="C18" s="96"/>
      <c r="D18" s="221" t="s">
        <v>116</v>
      </c>
      <c r="E18" s="222"/>
      <c r="F18" s="222"/>
      <c r="G18" s="222"/>
      <c r="H18" s="80"/>
      <c r="I18" s="95"/>
      <c r="J18" s="81"/>
      <c r="K18" s="90"/>
      <c r="N18" s="78" t="s">
        <v>73</v>
      </c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2"/>
    </row>
    <row r="19" spans="1:32" s="17" customFormat="1" ht="13.5" customHeight="1" thickBot="1">
      <c r="A19" s="202"/>
      <c r="B19" s="92"/>
      <c r="C19" s="96"/>
      <c r="D19" s="221" t="s">
        <v>112</v>
      </c>
      <c r="E19" s="222"/>
      <c r="F19" s="222"/>
      <c r="G19" s="222"/>
      <c r="H19" s="80"/>
      <c r="I19" s="95"/>
      <c r="J19" s="81"/>
      <c r="K19" s="90"/>
      <c r="L19" s="81"/>
      <c r="O19" s="78" t="s">
        <v>73</v>
      </c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2"/>
    </row>
    <row r="20" spans="1:32" s="17" customFormat="1" ht="24" customHeight="1">
      <c r="A20" s="193" t="s">
        <v>54</v>
      </c>
      <c r="B20" s="195"/>
      <c r="C20" s="196"/>
      <c r="D20" s="196"/>
      <c r="E20" s="196"/>
      <c r="F20" s="197"/>
      <c r="G20" s="35" t="s">
        <v>43</v>
      </c>
      <c r="H20" s="36" t="s">
        <v>85</v>
      </c>
      <c r="I20" s="37" t="s">
        <v>85</v>
      </c>
      <c r="J20" s="37" t="s">
        <v>85</v>
      </c>
      <c r="K20" s="37" t="s">
        <v>106</v>
      </c>
      <c r="L20" s="37" t="s">
        <v>106</v>
      </c>
      <c r="M20" s="37" t="s">
        <v>106</v>
      </c>
      <c r="N20" s="37" t="s">
        <v>106</v>
      </c>
      <c r="O20" s="37" t="s">
        <v>106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8"/>
    </row>
    <row r="21" spans="1:32" s="17" customFormat="1" ht="27" customHeight="1">
      <c r="A21" s="194"/>
      <c r="B21" s="198"/>
      <c r="C21" s="199"/>
      <c r="D21" s="199"/>
      <c r="E21" s="199"/>
      <c r="F21" s="200"/>
      <c r="G21" s="39" t="s">
        <v>44</v>
      </c>
      <c r="H21" s="40" t="s">
        <v>86</v>
      </c>
      <c r="I21" s="41" t="s">
        <v>86</v>
      </c>
      <c r="J21" s="72" t="s">
        <v>107</v>
      </c>
      <c r="K21" s="72" t="s">
        <v>108</v>
      </c>
      <c r="L21" s="72" t="s">
        <v>108</v>
      </c>
      <c r="M21" s="93" t="s">
        <v>117</v>
      </c>
      <c r="N21" s="99" t="s">
        <v>123</v>
      </c>
      <c r="O21" s="99" t="s">
        <v>123</v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2"/>
    </row>
    <row r="22" spans="1:32" s="17" customFormat="1" ht="27" customHeight="1">
      <c r="A22" s="194"/>
      <c r="B22" s="198"/>
      <c r="C22" s="199"/>
      <c r="D22" s="199"/>
      <c r="E22" s="199"/>
      <c r="F22" s="200"/>
      <c r="G22" s="39" t="s">
        <v>45</v>
      </c>
      <c r="H22" s="43">
        <v>43701</v>
      </c>
      <c r="I22" s="44">
        <v>43701</v>
      </c>
      <c r="J22" s="44">
        <v>43705</v>
      </c>
      <c r="K22" s="44">
        <v>43705</v>
      </c>
      <c r="L22" s="44">
        <v>43705</v>
      </c>
      <c r="M22" s="44">
        <v>43705</v>
      </c>
      <c r="N22" s="44">
        <v>43706</v>
      </c>
      <c r="O22" s="44">
        <v>43706</v>
      </c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5"/>
    </row>
    <row r="23" spans="1:32" s="17" customFormat="1" ht="24.75" customHeight="1">
      <c r="A23" s="194"/>
      <c r="B23" s="198" t="s">
        <v>92</v>
      </c>
      <c r="C23" s="199"/>
      <c r="D23" s="199"/>
      <c r="E23" s="199"/>
      <c r="F23" s="200"/>
      <c r="G23" s="46" t="s">
        <v>1</v>
      </c>
      <c r="H23" s="40" t="s">
        <v>87</v>
      </c>
      <c r="I23" s="41" t="s">
        <v>87</v>
      </c>
      <c r="J23" s="72" t="s">
        <v>87</v>
      </c>
      <c r="K23" s="72" t="s">
        <v>87</v>
      </c>
      <c r="L23" s="72" t="s">
        <v>87</v>
      </c>
      <c r="M23" s="93" t="s">
        <v>87</v>
      </c>
      <c r="N23" s="69" t="s">
        <v>87</v>
      </c>
      <c r="O23" s="99" t="s">
        <v>87</v>
      </c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2"/>
    </row>
    <row r="24" spans="1:32" s="17" customFormat="1" ht="24.75" customHeight="1">
      <c r="A24" s="160" t="s">
        <v>55</v>
      </c>
      <c r="B24" s="162" t="s">
        <v>47</v>
      </c>
      <c r="C24" s="162"/>
      <c r="D24" s="162"/>
      <c r="E24" s="162"/>
      <c r="F24" s="163" t="str">
        <f>GetBugSheetName()</f>
        <v>Upload_Click_</v>
      </c>
      <c r="G24" s="164"/>
      <c r="H24" s="60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4"/>
    </row>
    <row r="25" spans="1:32" s="17" customFormat="1" ht="36" customHeight="1" thickBot="1">
      <c r="A25" s="161"/>
      <c r="B25" s="165" t="s">
        <v>31</v>
      </c>
      <c r="C25" s="166"/>
      <c r="D25" s="166"/>
      <c r="E25" s="167"/>
      <c r="F25" s="165"/>
      <c r="G25" s="168"/>
      <c r="H25" s="61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 t="str">
        <f t="shared" ref="S25:AF25" si="0">IF(S24="","",(SUM(LEN(S24)-LEN(SUBSTITUTE(S24,",","")))/LEN(",")) + 1 )</f>
        <v/>
      </c>
      <c r="T25" s="55" t="str">
        <f t="shared" si="0"/>
        <v/>
      </c>
      <c r="U25" s="55" t="str">
        <f t="shared" si="0"/>
        <v/>
      </c>
      <c r="V25" s="55" t="str">
        <f t="shared" si="0"/>
        <v/>
      </c>
      <c r="W25" s="55" t="str">
        <f t="shared" si="0"/>
        <v/>
      </c>
      <c r="X25" s="55" t="str">
        <f t="shared" si="0"/>
        <v/>
      </c>
      <c r="Y25" s="55" t="str">
        <f t="shared" si="0"/>
        <v/>
      </c>
      <c r="Z25" s="55" t="str">
        <f t="shared" si="0"/>
        <v/>
      </c>
      <c r="AA25" s="55" t="str">
        <f t="shared" si="0"/>
        <v/>
      </c>
      <c r="AB25" s="55" t="str">
        <f t="shared" si="0"/>
        <v/>
      </c>
      <c r="AC25" s="55" t="str">
        <f t="shared" si="0"/>
        <v/>
      </c>
      <c r="AD25" s="55" t="str">
        <f t="shared" si="0"/>
        <v/>
      </c>
      <c r="AE25" s="55" t="str">
        <f t="shared" si="0"/>
        <v/>
      </c>
      <c r="AF25" s="56" t="str">
        <f t="shared" si="0"/>
        <v/>
      </c>
    </row>
    <row r="26" spans="1:32" s="17" customFormat="1">
      <c r="H26" s="47"/>
      <c r="I26" s="47"/>
      <c r="J26" s="47"/>
      <c r="K26" s="47"/>
      <c r="L26" s="47"/>
      <c r="M26" s="47"/>
      <c r="N26" s="48"/>
      <c r="O26" s="49"/>
      <c r="P26" s="47"/>
      <c r="Q26" s="47"/>
      <c r="R26" s="47"/>
      <c r="S26" s="47"/>
      <c r="T26" s="47"/>
      <c r="U26" s="47"/>
      <c r="V26" s="47"/>
    </row>
  </sheetData>
  <sheetProtection insertRows="0"/>
  <protectedRanges>
    <protectedRange sqref="B1:O2 P2 T1 AC1:AF2" name="Range1_1"/>
    <protectedRange sqref="H20:AF24" name="Range3_1_1"/>
    <protectedRange sqref="H4:AF4 I13 H13:H19 H9 K15:AF15 J18:K18 L5:AF14 M16:AF16 N17:AF17 K10:K13 H10:I12 J19:L19 J7 H6:J6 H8:I8 H7 K6:K8 J9:J14 P18:AF19 O18" name="Range2_1_1"/>
    <protectedRange sqref="D9:G10 D4:G7 B4:C12" name="Range2_1_1_1"/>
    <protectedRange sqref="C13:G14 B13:B19" name="Range2_1_3"/>
    <protectedRange sqref="K14 M17 N18 L16 O19 K9 K5 I7 J8 I5 I15:I19" name="Range2_1_1_2"/>
    <protectedRange sqref="D11:G12 D16:G19" name="Range2_1_3_1"/>
    <protectedRange sqref="C15:G15 C16:C19" name="Range2_1_6"/>
    <protectedRange sqref="C15:G15 C16:C19" name="Range2_1_4_3"/>
    <protectedRange sqref="D8:G8" name="Range2_1_2"/>
  </protectedRanges>
  <mergeCells count="41">
    <mergeCell ref="A13:A19"/>
    <mergeCell ref="B13:G13"/>
    <mergeCell ref="A4:A12"/>
    <mergeCell ref="B4:G4"/>
    <mergeCell ref="B5:G5"/>
    <mergeCell ref="C6:G6"/>
    <mergeCell ref="D7:G7"/>
    <mergeCell ref="B6:B12"/>
    <mergeCell ref="C14:G14"/>
    <mergeCell ref="C9:G9"/>
    <mergeCell ref="C10:G10"/>
    <mergeCell ref="D11:G11"/>
    <mergeCell ref="D19:G19"/>
    <mergeCell ref="D12:G12"/>
    <mergeCell ref="C15:G15"/>
    <mergeCell ref="D16:G16"/>
    <mergeCell ref="A20:A23"/>
    <mergeCell ref="B20:F20"/>
    <mergeCell ref="B21:F21"/>
    <mergeCell ref="B22:F22"/>
    <mergeCell ref="B23:F23"/>
    <mergeCell ref="A24:A25"/>
    <mergeCell ref="B24:E24"/>
    <mergeCell ref="F24:G24"/>
    <mergeCell ref="B25:E25"/>
    <mergeCell ref="F25:G25"/>
    <mergeCell ref="D17:G17"/>
    <mergeCell ref="D18:G18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D8:G8"/>
  </mergeCells>
  <phoneticPr fontId="3"/>
  <conditionalFormatting sqref="I15:I25 J6:J14 K15 H3:H4 H6:H25 J3:K4 K6:K8 I3:I8 K10:K13 I10:I13 J18:K25 N3:N17 M3:M16 L19:L25 L3:L15 P3:AF25 O3:O18 M20:O25">
    <cfRule type="expression" dxfId="37" priority="83" stopIfTrue="1">
      <formula>H$23="NA"</formula>
    </cfRule>
    <cfRule type="expression" dxfId="36" priority="84" stopIfTrue="1">
      <formula>H$23="NG"</formula>
    </cfRule>
  </conditionalFormatting>
  <conditionalFormatting sqref="I5">
    <cfRule type="expression" dxfId="35" priority="40" stopIfTrue="1">
      <formula>#REF!="NG"</formula>
    </cfRule>
    <cfRule type="expression" dxfId="34" priority="41" stopIfTrue="1">
      <formula>I$26="NA"</formula>
    </cfRule>
    <cfRule type="expression" dxfId="33" priority="42" stopIfTrue="1">
      <formula>I$26="NG"</formula>
    </cfRule>
  </conditionalFormatting>
  <conditionalFormatting sqref="I15:I19">
    <cfRule type="expression" dxfId="32" priority="95" stopIfTrue="1">
      <formula>#REF!="NG"</formula>
    </cfRule>
    <cfRule type="expression" dxfId="31" priority="96" stopIfTrue="1">
      <formula>I$26="NA"</formula>
    </cfRule>
    <cfRule type="expression" dxfId="30" priority="97" stopIfTrue="1">
      <formula>I$26="NG"</formula>
    </cfRule>
  </conditionalFormatting>
  <conditionalFormatting sqref="M17">
    <cfRule type="expression" dxfId="29" priority="25" stopIfTrue="1">
      <formula>#REF!="NG"</formula>
    </cfRule>
    <cfRule type="expression" dxfId="28" priority="26" stopIfTrue="1">
      <formula>J$26="NA"</formula>
    </cfRule>
    <cfRule type="expression" dxfId="27" priority="27" stopIfTrue="1">
      <formula>J$26="NG"</formula>
    </cfRule>
  </conditionalFormatting>
  <conditionalFormatting sqref="N18">
    <cfRule type="expression" dxfId="26" priority="22" stopIfTrue="1">
      <formula>#REF!="NG"</formula>
    </cfRule>
    <cfRule type="expression" dxfId="25" priority="23" stopIfTrue="1">
      <formula>L$26="NA"</formula>
    </cfRule>
    <cfRule type="expression" dxfId="24" priority="24" stopIfTrue="1">
      <formula>L$26="NG"</formula>
    </cfRule>
  </conditionalFormatting>
  <conditionalFormatting sqref="L16">
    <cfRule type="expression" dxfId="23" priority="19" stopIfTrue="1">
      <formula>#REF!="NG"</formula>
    </cfRule>
    <cfRule type="expression" dxfId="22" priority="20" stopIfTrue="1">
      <formula>K$26="NA"</formula>
    </cfRule>
    <cfRule type="expression" dxfId="21" priority="21" stopIfTrue="1">
      <formula>K$26="NG"</formula>
    </cfRule>
  </conditionalFormatting>
  <conditionalFormatting sqref="O19">
    <cfRule type="expression" dxfId="20" priority="16" stopIfTrue="1">
      <formula>#REF!="NG"</formula>
    </cfRule>
    <cfRule type="expression" dxfId="19" priority="17" stopIfTrue="1">
      <formula>M$26="NA"</formula>
    </cfRule>
    <cfRule type="expression" dxfId="18" priority="18" stopIfTrue="1">
      <formula>M$26="NG"</formula>
    </cfRule>
  </conditionalFormatting>
  <conditionalFormatting sqref="K9 K14">
    <cfRule type="expression" dxfId="17" priority="10" stopIfTrue="1">
      <formula>#REF!="NG"</formula>
    </cfRule>
    <cfRule type="expression" dxfId="16" priority="11" stopIfTrue="1">
      <formula>I$26="NA"</formula>
    </cfRule>
    <cfRule type="expression" dxfId="15" priority="12" stopIfTrue="1">
      <formula>I$26="NG"</formula>
    </cfRule>
  </conditionalFormatting>
  <conditionalFormatting sqref="K5 M17">
    <cfRule type="expression" dxfId="14" priority="100" stopIfTrue="1">
      <formula>H$23="NA"</formula>
    </cfRule>
    <cfRule type="expression" dxfId="13" priority="101" stopIfTrue="1">
      <formula>H$23="NG"</formula>
    </cfRule>
  </conditionalFormatting>
  <conditionalFormatting sqref="K5">
    <cfRule type="expression" dxfId="12" priority="105" stopIfTrue="1">
      <formula>#REF!="NG"</formula>
    </cfRule>
    <cfRule type="expression" dxfId="11" priority="106" stopIfTrue="1">
      <formula>H$26="NA"</formula>
    </cfRule>
    <cfRule type="expression" dxfId="10" priority="107" stopIfTrue="1">
      <formula>H$26="NG"</formula>
    </cfRule>
  </conditionalFormatting>
  <conditionalFormatting sqref="I7">
    <cfRule type="expression" dxfId="9" priority="7" stopIfTrue="1">
      <formula>#REF!="NG"</formula>
    </cfRule>
    <cfRule type="expression" dxfId="8" priority="8" stopIfTrue="1">
      <formula>I$26="NA"</formula>
    </cfRule>
    <cfRule type="expression" dxfId="7" priority="9" stopIfTrue="1">
      <formula>I$26="NG"</formula>
    </cfRule>
  </conditionalFormatting>
  <conditionalFormatting sqref="J8">
    <cfRule type="expression" dxfId="6" priority="4" stopIfTrue="1">
      <formula>#REF!="NG"</formula>
    </cfRule>
    <cfRule type="expression" dxfId="5" priority="5" stopIfTrue="1">
      <formula>J$26="NA"</formula>
    </cfRule>
    <cfRule type="expression" dxfId="4" priority="6" stopIfTrue="1">
      <formula>J$26="NG"</formula>
    </cfRule>
  </conditionalFormatting>
  <conditionalFormatting sqref="K9 K14 N18 O19">
    <cfRule type="expression" dxfId="3" priority="110" stopIfTrue="1">
      <formula>I$23="NA"</formula>
    </cfRule>
    <cfRule type="expression" dxfId="2" priority="111" stopIfTrue="1">
      <formula>I$23="NG"</formula>
    </cfRule>
  </conditionalFormatting>
  <conditionalFormatting sqref="L16">
    <cfRule type="expression" dxfId="1" priority="114" stopIfTrue="1">
      <formula>K$23="NA"</formula>
    </cfRule>
    <cfRule type="expression" dxfId="0" priority="115" stopIfTrue="1">
      <formula>K$23="NG"</formula>
    </cfRule>
  </conditionalFormatting>
  <dataValidations count="10">
    <dataValidation allowBlank="1" showInputMessage="1" showErrorMessage="1" promptTitle="Condition Type" prompt="N : Normal _x000a_A : Abnormal _x000a_B : Boundary" sqref="G20"/>
    <dataValidation allowBlank="1" showInputMessage="1" showErrorMessage="1" promptTitle="Enter" prompt="Name of the person who performed the test" sqref="G21"/>
    <dataValidation allowBlank="1" showInputMessage="1" showErrorMessage="1" promptTitle="Testing Date" prompt="Date on which test was performed in yyyy/mm/dd format" sqref="G22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3"/>
    <dataValidation allowBlank="1" showInputMessage="1" showErrorMessage="1" promptTitle="Bug ID" prompt="Unique ID throughout the project._x000a_For every Bug found during Test as well as Re-Test, a new Bug ID needs to be entered here (as a comma seperated value)" sqref="B24:E24"/>
    <dataValidation allowBlank="1" showInputMessage="1" showErrorMessage="1" promptTitle="PCL sheet name" prompt=" " sqref="F24:G24"/>
    <dataValidation type="list" allowBlank="1" showInputMessage="1" showErrorMessage="1" sqref="H23:AF23">
      <formula1>"OK, NG, NA, PT"</formula1>
    </dataValidation>
    <dataValidation type="list" allowBlank="1" showInputMessage="1" showErrorMessage="1" sqref="H20:AF20">
      <formula1>"N, A, B"</formula1>
    </dataValidation>
    <dataValidation allowBlank="1" showInputMessage="1" showErrorMessage="1" promptTitle="Check points" prompt="that need / need not be executed" sqref="A13:A19"/>
    <dataValidation allowBlank="1" showInputMessage="1" showErrorMessage="1" promptTitle="Input conditions" prompt="that need to be checked." sqref="A4:A1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5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1" sqref="H1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9" t="s">
        <v>102</v>
      </c>
      <c r="C1" s="170"/>
      <c r="D1" s="170"/>
      <c r="E1" s="171"/>
      <c r="F1" s="169" t="s">
        <v>90</v>
      </c>
      <c r="G1" s="170"/>
      <c r="H1" s="170"/>
      <c r="I1" s="170"/>
      <c r="J1" s="170"/>
      <c r="K1" s="170"/>
      <c r="L1" s="170"/>
      <c r="M1" s="170"/>
      <c r="N1" s="170"/>
      <c r="O1" s="171"/>
      <c r="P1" s="180" t="s">
        <v>0</v>
      </c>
      <c r="Q1" s="181"/>
      <c r="R1" s="181"/>
      <c r="S1" s="182"/>
      <c r="T1" s="169" t="s">
        <v>91</v>
      </c>
      <c r="U1" s="170"/>
      <c r="V1" s="170"/>
      <c r="W1" s="170"/>
      <c r="X1" s="170"/>
      <c r="Y1" s="170"/>
      <c r="Z1" s="171"/>
      <c r="AA1" s="172" t="s">
        <v>11</v>
      </c>
      <c r="AB1" s="172"/>
      <c r="AC1" s="173">
        <v>43701</v>
      </c>
      <c r="AD1" s="173"/>
      <c r="AE1" s="173"/>
      <c r="AF1" s="174"/>
    </row>
    <row r="2" spans="1:32" ht="20.100000000000001" customHeight="1" thickBot="1">
      <c r="A2" s="64" t="s">
        <v>4</v>
      </c>
      <c r="B2" s="175" t="s">
        <v>89</v>
      </c>
      <c r="C2" s="176"/>
      <c r="D2" s="176"/>
      <c r="E2" s="177"/>
      <c r="F2" s="175" t="s">
        <v>81</v>
      </c>
      <c r="G2" s="176"/>
      <c r="H2" s="177"/>
      <c r="I2" s="165" t="s">
        <v>81</v>
      </c>
      <c r="J2" s="166"/>
      <c r="K2" s="166"/>
      <c r="L2" s="166"/>
      <c r="M2" s="166"/>
      <c r="N2" s="166"/>
      <c r="O2" s="167"/>
      <c r="P2" s="175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78" t="s">
        <v>13</v>
      </c>
      <c r="AB2" s="179"/>
      <c r="AC2" s="175" t="s">
        <v>14</v>
      </c>
      <c r="AD2" s="176"/>
      <c r="AE2" s="176"/>
      <c r="AF2" s="18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IF(COUNTA(H4:H9)&gt;0,1,"")</f>
        <v>1</v>
      </c>
      <c r="I3" s="12" t="str">
        <f t="shared" ref="I3:AF3" si="0">IF(COUNTA(I4:I9)&gt;0,IF(H3&gt;0,H3+1,""),"")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4" t="s">
        <v>52</v>
      </c>
      <c r="B4" s="211" t="s">
        <v>67</v>
      </c>
      <c r="C4" s="212"/>
      <c r="D4" s="212"/>
      <c r="E4" s="212"/>
      <c r="F4" s="212"/>
      <c r="G4" s="213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5"/>
      <c r="B5" s="221" t="s">
        <v>104</v>
      </c>
      <c r="C5" s="222"/>
      <c r="D5" s="222"/>
      <c r="E5" s="222"/>
      <c r="F5" s="222"/>
      <c r="G5" s="223"/>
      <c r="H5" s="74" t="s">
        <v>72</v>
      </c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85"/>
      <c r="B6" s="91"/>
      <c r="C6" s="229" t="s">
        <v>103</v>
      </c>
      <c r="D6" s="230"/>
      <c r="E6" s="230"/>
      <c r="F6" s="230"/>
      <c r="G6" s="231"/>
      <c r="H6" s="74" t="s">
        <v>73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1" t="s">
        <v>53</v>
      </c>
      <c r="B7" s="211" t="s">
        <v>75</v>
      </c>
      <c r="C7" s="212"/>
      <c r="D7" s="212"/>
      <c r="E7" s="212"/>
      <c r="F7" s="212"/>
      <c r="G7" s="213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 thickBot="1">
      <c r="A8" s="202"/>
      <c r="B8" s="91"/>
      <c r="C8" s="222" t="s">
        <v>105</v>
      </c>
      <c r="D8" s="222"/>
      <c r="E8" s="222"/>
      <c r="F8" s="222"/>
      <c r="G8" s="223"/>
      <c r="H8" s="74" t="s">
        <v>73</v>
      </c>
      <c r="I8" s="23"/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24" customHeight="1">
      <c r="A9" s="193" t="s">
        <v>54</v>
      </c>
      <c r="B9" s="195"/>
      <c r="C9" s="196"/>
      <c r="D9" s="196"/>
      <c r="E9" s="196"/>
      <c r="F9" s="197"/>
      <c r="G9" s="35" t="s">
        <v>43</v>
      </c>
      <c r="H9" s="36" t="s">
        <v>85</v>
      </c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8"/>
    </row>
    <row r="10" spans="1:32" s="17" customFormat="1" ht="27" customHeight="1">
      <c r="A10" s="194"/>
      <c r="B10" s="198"/>
      <c r="C10" s="199"/>
      <c r="D10" s="199"/>
      <c r="E10" s="199"/>
      <c r="F10" s="200"/>
      <c r="G10" s="39" t="s">
        <v>44</v>
      </c>
      <c r="H10" s="40" t="s">
        <v>86</v>
      </c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2"/>
    </row>
    <row r="11" spans="1:32" s="17" customFormat="1" ht="27" customHeight="1">
      <c r="A11" s="194"/>
      <c r="B11" s="198"/>
      <c r="C11" s="199"/>
      <c r="D11" s="199"/>
      <c r="E11" s="199"/>
      <c r="F11" s="200"/>
      <c r="G11" s="39" t="s">
        <v>45</v>
      </c>
      <c r="H11" s="43">
        <v>43701</v>
      </c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5"/>
    </row>
    <row r="12" spans="1:32" s="17" customFormat="1" ht="24.75" customHeight="1">
      <c r="A12" s="194"/>
      <c r="B12" s="198" t="s">
        <v>92</v>
      </c>
      <c r="C12" s="199"/>
      <c r="D12" s="199"/>
      <c r="E12" s="199"/>
      <c r="F12" s="200"/>
      <c r="G12" s="46" t="s">
        <v>1</v>
      </c>
      <c r="H12" s="40" t="s">
        <v>87</v>
      </c>
      <c r="I12" s="41"/>
      <c r="J12" s="41"/>
      <c r="K12" s="41"/>
      <c r="L12" s="41"/>
      <c r="M12" s="41"/>
      <c r="N12" s="69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2"/>
    </row>
    <row r="13" spans="1:32" s="17" customFormat="1" ht="24.75" customHeight="1">
      <c r="A13" s="160" t="s">
        <v>55</v>
      </c>
      <c r="B13" s="162" t="s">
        <v>47</v>
      </c>
      <c r="C13" s="162"/>
      <c r="D13" s="162"/>
      <c r="E13" s="162"/>
      <c r="F13" s="163" t="s">
        <v>118</v>
      </c>
      <c r="G13" s="164"/>
      <c r="H13" s="60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4"/>
    </row>
    <row r="14" spans="1:32" s="17" customFormat="1" ht="36" customHeight="1" thickBot="1">
      <c r="A14" s="161"/>
      <c r="B14" s="165" t="s">
        <v>31</v>
      </c>
      <c r="C14" s="166"/>
      <c r="D14" s="166"/>
      <c r="E14" s="167"/>
      <c r="F14" s="165"/>
      <c r="G14" s="168"/>
      <c r="H14" s="61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 t="str">
        <f t="shared" ref="S14:AF14" si="1">IF(S13="","",(SUM(LEN(S13)-LEN(SUBSTITUTE(S13,",","")))/LEN(",")) + 1 )</f>
        <v/>
      </c>
      <c r="T14" s="55" t="str">
        <f t="shared" si="1"/>
        <v/>
      </c>
      <c r="U14" s="55" t="str">
        <f t="shared" si="1"/>
        <v/>
      </c>
      <c r="V14" s="55" t="str">
        <f t="shared" si="1"/>
        <v/>
      </c>
      <c r="W14" s="55" t="str">
        <f t="shared" si="1"/>
        <v/>
      </c>
      <c r="X14" s="55" t="str">
        <f t="shared" si="1"/>
        <v/>
      </c>
      <c r="Y14" s="55" t="str">
        <f t="shared" si="1"/>
        <v/>
      </c>
      <c r="Z14" s="55" t="str">
        <f t="shared" si="1"/>
        <v/>
      </c>
      <c r="AA14" s="55" t="str">
        <f t="shared" si="1"/>
        <v/>
      </c>
      <c r="AB14" s="55" t="str">
        <f t="shared" si="1"/>
        <v/>
      </c>
      <c r="AC14" s="55" t="str">
        <f t="shared" si="1"/>
        <v/>
      </c>
      <c r="AD14" s="55" t="str">
        <f t="shared" si="1"/>
        <v/>
      </c>
      <c r="AE14" s="55" t="str">
        <f t="shared" si="1"/>
        <v/>
      </c>
      <c r="AF14" s="56" t="str">
        <f t="shared" si="1"/>
        <v/>
      </c>
    </row>
    <row r="15" spans="1:32" s="17" customFormat="1">
      <c r="H15" s="47"/>
      <c r="I15" s="47"/>
      <c r="J15" s="47"/>
      <c r="K15" s="47"/>
      <c r="L15" s="47"/>
      <c r="M15" s="47"/>
      <c r="N15" s="48"/>
      <c r="O15" s="49"/>
      <c r="P15" s="47"/>
      <c r="Q15" s="47"/>
      <c r="R15" s="47"/>
      <c r="S15" s="47"/>
      <c r="T15" s="47"/>
      <c r="U15" s="47"/>
      <c r="V15" s="47"/>
    </row>
  </sheetData>
  <sheetProtection insertRows="0"/>
  <protectedRanges>
    <protectedRange sqref="B1:O2 P2 T1 AC1:AF2" name="Range1_1"/>
    <protectedRange sqref="H9:AF13" name="Range3_1_1"/>
    <protectedRange sqref="H4:AF4 H7:AF7 I5:AF6 I8:AF8" name="Range2_1_1"/>
    <protectedRange sqref="B4:G6" name="Range2_1_1_1"/>
    <protectedRange sqref="B7:G8" name="Range2_1_3"/>
    <protectedRange sqref="H5" name="Range2_1_1_3"/>
    <protectedRange sqref="H6 H8" name="Range2_1_1_4"/>
  </protectedRanges>
  <mergeCells count="29">
    <mergeCell ref="A9:A12"/>
    <mergeCell ref="B9:F9"/>
    <mergeCell ref="B10:F10"/>
    <mergeCell ref="B11:F11"/>
    <mergeCell ref="B12:F12"/>
    <mergeCell ref="A13:A14"/>
    <mergeCell ref="B13:E13"/>
    <mergeCell ref="F13:G13"/>
    <mergeCell ref="B14:E14"/>
    <mergeCell ref="F14:G14"/>
    <mergeCell ref="A7:A8"/>
    <mergeCell ref="B7:G7"/>
    <mergeCell ref="C8:G8"/>
    <mergeCell ref="A4:A6"/>
    <mergeCell ref="B4:G4"/>
    <mergeCell ref="B5:G5"/>
    <mergeCell ref="C6:G6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3:AF14">
    <cfRule type="expression" dxfId="63" priority="40" stopIfTrue="1">
      <formula>H$12="NA"</formula>
    </cfRule>
    <cfRule type="expression" dxfId="62" priority="41" stopIfTrue="1">
      <formula>H$12="NG"</formula>
    </cfRule>
  </conditionalFormatting>
  <conditionalFormatting sqref="H5">
    <cfRule type="expression" dxfId="61" priority="7" stopIfTrue="1">
      <formula>#REF!="NG"</formula>
    </cfRule>
    <cfRule type="expression" dxfId="60" priority="8" stopIfTrue="1">
      <formula>H$12="NA"</formula>
    </cfRule>
    <cfRule type="expression" dxfId="59" priority="9" stopIfTrue="1">
      <formula>H$12="NG"</formula>
    </cfRule>
  </conditionalFormatting>
  <conditionalFormatting sqref="H5:H6">
    <cfRule type="expression" dxfId="58" priority="4" stopIfTrue="1">
      <formula>#REF!="NG"</formula>
    </cfRule>
    <cfRule type="expression" dxfId="57" priority="5" stopIfTrue="1">
      <formula>H$12="NA"</formula>
    </cfRule>
    <cfRule type="expression" dxfId="56" priority="6" stopIfTrue="1">
      <formula>H$12="NG"</formula>
    </cfRule>
  </conditionalFormatting>
  <conditionalFormatting sqref="H8">
    <cfRule type="expression" dxfId="55" priority="1" stopIfTrue="1">
      <formula>#REF!="NG"</formula>
    </cfRule>
    <cfRule type="expression" dxfId="54" priority="2" stopIfTrue="1">
      <formula>H$12="NA"</formula>
    </cfRule>
    <cfRule type="expression" dxfId="53" priority="3" stopIfTrue="1">
      <formula>H$12="NG"</formula>
    </cfRule>
  </conditionalFormatting>
  <dataValidations count="10">
    <dataValidation allowBlank="1" showInputMessage="1" showErrorMessage="1" promptTitle="Condition Type" prompt="N : Normal _x000a_A : Abnormal _x000a_B : Boundary" sqref="G9"/>
    <dataValidation allowBlank="1" showInputMessage="1" showErrorMessage="1" promptTitle="Enter" prompt="Name of the person who performed the test" sqref="G10"/>
    <dataValidation allowBlank="1" showInputMessage="1" showErrorMessage="1" promptTitle="Testing Date" prompt="Date on which test was performed in yyyy/mm/dd format" sqref="G11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"/>
    <dataValidation allowBlank="1" showInputMessage="1" showErrorMessage="1" promptTitle="Bug ID" prompt="Unique ID throughout the project._x000a_For every Bug found during Test as well as Re-Test, a new Bug ID needs to be entered here (as a comma seperated value)" sqref="B13:E13"/>
    <dataValidation allowBlank="1" showInputMessage="1" showErrorMessage="1" promptTitle="PCL sheet name" prompt=" " sqref="F13:G13"/>
    <dataValidation type="list" allowBlank="1" showInputMessage="1" showErrorMessage="1" sqref="H12:AF12">
      <formula1>"OK, NG, NA, PT"</formula1>
    </dataValidation>
    <dataValidation type="list" allowBlank="1" showInputMessage="1" showErrorMessage="1" sqref="H9:AF9">
      <formula1>"N, A, B"</formula1>
    </dataValidation>
    <dataValidation allowBlank="1" showInputMessage="1" showErrorMessage="1" promptTitle="Check points" prompt="that need / need not be executed" sqref="A7:A8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A2:A162"/>
  <sheetViews>
    <sheetView topLeftCell="A127" workbookViewId="0">
      <selection activeCell="B203" sqref="B203"/>
    </sheetView>
  </sheetViews>
  <sheetFormatPr defaultRowHeight="13.5"/>
  <sheetData>
    <row r="2" spans="1:1">
      <c r="A2" s="89" t="s">
        <v>94</v>
      </c>
    </row>
    <row r="34" spans="1:1">
      <c r="A34" s="89" t="s">
        <v>95</v>
      </c>
    </row>
    <row r="76" spans="1:1">
      <c r="A76" s="89" t="s">
        <v>100</v>
      </c>
    </row>
    <row r="162" spans="1:1">
      <c r="A162" s="89" t="s">
        <v>109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Upload_Click</vt:lpstr>
      <vt:lpstr>Cancel_Click</vt:lpstr>
      <vt:lpstr>Evidence</vt:lpstr>
      <vt:lpstr>Cancel_Click!BugCount</vt:lpstr>
      <vt:lpstr>Page_Load!BugCount</vt:lpstr>
      <vt:lpstr>Upload_Click!BugCount</vt:lpstr>
      <vt:lpstr>BugCount</vt:lpstr>
      <vt:lpstr>Cancel_Click!BugSheetName</vt:lpstr>
      <vt:lpstr>Page_Load!BugSheetName</vt:lpstr>
      <vt:lpstr>Upload_Click!BugSheetName</vt:lpstr>
      <vt:lpstr>BugSheetName</vt:lpstr>
      <vt:lpstr>NewPCL</vt:lpstr>
      <vt:lpstr>NewPCL_Row</vt:lpstr>
      <vt:lpstr>Cancel_Click!Print_Area</vt:lpstr>
      <vt:lpstr>Page_Load!Print_Area</vt:lpstr>
      <vt:lpstr>Summary!Print_Area</vt:lpstr>
      <vt:lpstr>Template!Print_Area</vt:lpstr>
      <vt:lpstr>Upload_Click!Print_Area</vt:lpstr>
      <vt:lpstr>Cancel_Click!Print_Titles</vt:lpstr>
      <vt:lpstr>Page_Load!Print_Titles</vt:lpstr>
      <vt:lpstr>Summary!Print_Titles</vt:lpstr>
      <vt:lpstr>Template!Print_Titles</vt:lpstr>
      <vt:lpstr>Upload_Click!Print_Titles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Cancel_Click!TestResult</vt:lpstr>
      <vt:lpstr>Page_Load!TestResult</vt:lpstr>
      <vt:lpstr>Upload_Click!TestResult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2019-08-29T14:05:29Z</dcterms:modified>
</cp:coreProperties>
</file>