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2"/>
  </bookViews>
  <sheets>
    <sheet name="Summary" sheetId="32" r:id="rId1"/>
    <sheet name="Template" sheetId="21" state="hidden" r:id="rId2"/>
    <sheet name="Page_Load" sheetId="71" r:id="rId3"/>
    <sheet name="Login_Click" sheetId="73" r:id="rId4"/>
    <sheet name="Logout_Click" sheetId="74" r:id="rId5"/>
    <sheet name="Clear_Click" sheetId="75" r:id="rId6"/>
    <sheet name="Evidence" sheetId="72" r:id="rId7"/>
  </sheets>
  <functionGroups/>
  <definedNames>
    <definedName name="_xlnm._FilterDatabase" localSheetId="0" hidden="1">Summary!$B$9:$AL$9</definedName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5">Clear_Click!$H$18:$AF$18</definedName>
    <definedName name="BugCount" localSheetId="3">Login_Click!$H$41:$AF$41</definedName>
    <definedName name="BugCount" localSheetId="4">Logout_Click!$H$27:$AF$27</definedName>
    <definedName name="BugCount" localSheetId="2">Page_Load!$H$35:$AF$35</definedName>
    <definedName name="BugCount">Template!$H$29:$AF$29</definedName>
    <definedName name="BugSheetName" localSheetId="5">Clear_Click!$F$17</definedName>
    <definedName name="BugSheetName" localSheetId="3">Login_Click!$F$40</definedName>
    <definedName name="BugSheetName" localSheetId="4">Logout_Click!$F$26</definedName>
    <definedName name="BugSheetName" localSheetId="2">Page_Load!$F$34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Summary!$14:$14</definedName>
    <definedName name="_xlnm.Print_Area" localSheetId="5">Clear_Click!$A$1:$AF$19</definedName>
    <definedName name="_xlnm.Print_Area" localSheetId="3">Login_Click!$A$1:$AF$53</definedName>
    <definedName name="_xlnm.Print_Area" localSheetId="4">Logout_Click!$A$1:$AF$28</definedName>
    <definedName name="_xlnm.Print_Area" localSheetId="2">Page_Load!$A$1:$AF$36</definedName>
    <definedName name="_xlnm.Print_Area" localSheetId="0">Summary!$A$5:$AM$34</definedName>
    <definedName name="_xlnm.Print_Area" localSheetId="1">Template!$A$1:$AF$30</definedName>
    <definedName name="_xlnm.Print_Titles" localSheetId="5">Clear_Click!$1:$3</definedName>
    <definedName name="_xlnm.Print_Titles" localSheetId="3">Login_Click!$1:$3</definedName>
    <definedName name="_xlnm.Print_Titles" localSheetId="4">Logout_Click!$1:$3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Summary!$AI$15</definedName>
    <definedName name="SummaryTotal">Summary!$B$15:$AL$16</definedName>
    <definedName name="SummaryTRNA">Summary!$X$15</definedName>
    <definedName name="SummaryTRNG">Summary!$R$15</definedName>
    <definedName name="SummaryTROK">Summary!$O$15</definedName>
    <definedName name="SummaryTRPT">Summary!$U$15</definedName>
    <definedName name="SummaryTTC">Summary!$K$15</definedName>
    <definedName name="SummaryTTD">Summary!$AA$15</definedName>
    <definedName name="SummaryTTND">Summary!$AE$15</definedName>
    <definedName name="TestResult" localSheetId="5">Clear_Click!$G$16</definedName>
    <definedName name="TestResult" localSheetId="3">Login_Click!$G$39</definedName>
    <definedName name="TestResult" localSheetId="4">Logout_Click!$G$25</definedName>
    <definedName name="TestResult" localSheetId="2">Page_Load!$G$33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 fullCalcOnLoad="1"/>
</workbook>
</file>

<file path=xl/calcChain.xml><?xml version="1.0" encoding="utf-8"?>
<calcChain xmlns="http://schemas.openxmlformats.org/spreadsheetml/2006/main">
  <c r="AF18" i="75"/>
  <c r="AE18"/>
  <c r="AD18"/>
  <c r="AC18"/>
  <c r="AB18"/>
  <c r="AA18"/>
  <c r="Z18"/>
  <c r="Y18"/>
  <c r="X18"/>
  <c r="W18"/>
  <c r="V18"/>
  <c r="U18"/>
  <c r="T18"/>
  <c r="S18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27" i="74"/>
  <c r="AE27"/>
  <c r="AD27"/>
  <c r="AC27"/>
  <c r="AB27"/>
  <c r="AA27"/>
  <c r="Z27"/>
  <c r="Y27"/>
  <c r="X27"/>
  <c r="W27"/>
  <c r="V27"/>
  <c r="U27"/>
  <c r="T27"/>
  <c r="S27"/>
  <c r="AF3"/>
  <c r="AE3"/>
  <c r="AD3"/>
  <c r="AC3"/>
  <c r="AB3"/>
  <c r="AA3"/>
  <c r="Z3"/>
  <c r="Y3"/>
  <c r="X3"/>
  <c r="W3"/>
  <c r="V3"/>
  <c r="U3"/>
  <c r="T3"/>
  <c r="S3"/>
  <c r="R3"/>
  <c r="K3"/>
  <c r="L3"/>
  <c r="M3"/>
  <c r="N3"/>
  <c r="O3"/>
  <c r="P3"/>
  <c r="Q3"/>
  <c r="H3"/>
  <c r="I3"/>
  <c r="AF41" i="73"/>
  <c r="AE41"/>
  <c r="AD41"/>
  <c r="AC41"/>
  <c r="AB41"/>
  <c r="AA41"/>
  <c r="Z41"/>
  <c r="Y41"/>
  <c r="X41"/>
  <c r="W41"/>
  <c r="V41"/>
  <c r="U41"/>
  <c r="T41"/>
  <c r="S41"/>
  <c r="AF3"/>
  <c r="AE3"/>
  <c r="AD3"/>
  <c r="AC3"/>
  <c r="AB3"/>
  <c r="AA3"/>
  <c r="Z3"/>
  <c r="Y3"/>
  <c r="X3"/>
  <c r="W3"/>
  <c r="V3"/>
  <c r="U3"/>
  <c r="T3"/>
  <c r="S3"/>
  <c r="R3"/>
  <c r="Q3"/>
  <c r="P3"/>
  <c r="H3"/>
  <c r="I3"/>
  <c r="J3"/>
  <c r="K3"/>
  <c r="L3"/>
  <c r="M3"/>
  <c r="N3"/>
  <c r="O3"/>
  <c r="H3" i="71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S35"/>
  <c r="T35"/>
  <c r="U35"/>
  <c r="V35"/>
  <c r="W35"/>
  <c r="X35"/>
  <c r="Y35"/>
  <c r="Z35"/>
  <c r="AA35"/>
  <c r="AB35"/>
  <c r="AC35"/>
  <c r="AD35"/>
  <c r="AE35"/>
  <c r="AF35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F34" i="71"/>
  <c r="F17" i="75"/>
  <c r="F26" i="74"/>
  <c r="F40" i="73"/>
  <c r="X13" i="32"/>
  <c r="X12"/>
  <c r="K12"/>
  <c r="X11"/>
  <c r="U10"/>
  <c r="O10"/>
  <c r="R11"/>
  <c r="R13"/>
  <c r="U13"/>
  <c r="U12"/>
  <c r="U11"/>
  <c r="AI10"/>
  <c r="AI12"/>
  <c r="O13"/>
  <c r="R12"/>
  <c r="O12"/>
  <c r="AI11"/>
  <c r="K11"/>
  <c r="R10"/>
  <c r="K10"/>
  <c r="AI13"/>
  <c r="K13"/>
  <c r="O11"/>
  <c r="X10"/>
  <c r="AA3" l="1"/>
  <c r="AE3" s="1"/>
  <c r="X15"/>
  <c r="AA11"/>
  <c r="K15"/>
  <c r="R15"/>
  <c r="AE11"/>
  <c r="AA12"/>
  <c r="AA13"/>
  <c r="AE13" s="1"/>
  <c r="AI15"/>
  <c r="AA10"/>
  <c r="O15"/>
  <c r="U15"/>
  <c r="U16" s="1"/>
  <c r="AE12"/>
  <c r="X16" l="1"/>
  <c r="R16"/>
  <c r="AA15"/>
  <c r="AA16" s="1"/>
  <c r="O16"/>
  <c r="AE10"/>
  <c r="AE15" s="1"/>
  <c r="AE16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</rPr>
          <t>Function for which PCL
is to be created</t>
        </r>
      </text>
    </comment>
    <comment ref="B5" authorId="1">
      <text>
        <r>
          <rPr>
            <sz val="8"/>
            <color indexed="8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"/>
            <rFont val="Tahoma"/>
            <family val="2"/>
          </rPr>
          <t xml:space="preserve">OR
</t>
        </r>
        <r>
          <rPr>
            <sz val="8"/>
            <color indexed="8"/>
            <rFont val="Tahoma"/>
            <family val="2"/>
          </rPr>
          <t>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<sst xmlns="http://schemas.openxmlformats.org/spreadsheetml/2006/main" count="428" uniqueCount="173">
  <si>
    <t>Creators Name</t>
    <phoneticPr fontId="4"/>
  </si>
  <si>
    <t>Test Result</t>
    <phoneticPr fontId="4"/>
  </si>
  <si>
    <t>Total</t>
    <phoneticPr fontId="4"/>
  </si>
  <si>
    <t>% of Total</t>
    <phoneticPr fontId="4"/>
  </si>
  <si>
    <t>Module Code</t>
    <phoneticPr fontId="4"/>
  </si>
  <si>
    <t>Project Code</t>
    <phoneticPr fontId="4"/>
  </si>
  <si>
    <t>&lt;Project Name&gt;</t>
    <phoneticPr fontId="4"/>
  </si>
  <si>
    <t>&lt;Module Name&gt;</t>
    <phoneticPr fontId="4"/>
  </si>
  <si>
    <t>&lt;code&gt;</t>
    <phoneticPr fontId="4"/>
  </si>
  <si>
    <t>[ Project Code : Project Name ]</t>
    <phoneticPr fontId="9" type="noConversion"/>
  </si>
  <si>
    <t>&lt;Person Name&gt;</t>
    <phoneticPr fontId="4"/>
  </si>
  <si>
    <t>Date</t>
    <phoneticPr fontId="4"/>
  </si>
  <si>
    <t>&lt;Function Name&gt;</t>
    <phoneticPr fontId="4"/>
  </si>
  <si>
    <t>Page</t>
    <phoneticPr fontId="4"/>
  </si>
  <si>
    <t>1</t>
    <phoneticPr fontId="4"/>
  </si>
  <si>
    <t>New PCL</t>
    <phoneticPr fontId="4"/>
  </si>
  <si>
    <t>No</t>
    <phoneticPr fontId="4"/>
  </si>
  <si>
    <t>Function Name</t>
    <phoneticPr fontId="4"/>
  </si>
  <si>
    <t>OK</t>
    <phoneticPr fontId="4"/>
  </si>
  <si>
    <t>NG</t>
    <phoneticPr fontId="4"/>
  </si>
  <si>
    <t>PT</t>
    <phoneticPr fontId="4"/>
  </si>
  <si>
    <t>NA</t>
    <phoneticPr fontId="4"/>
  </si>
  <si>
    <t>Method Name</t>
    <phoneticPr fontId="4"/>
  </si>
  <si>
    <t>Caller function / Event</t>
    <phoneticPr fontId="4"/>
  </si>
  <si>
    <t>①</t>
    <phoneticPr fontId="4"/>
  </si>
  <si>
    <t>②</t>
    <phoneticPr fontId="4"/>
  </si>
  <si>
    <t>Verification of path flow during program execution</t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</si>
  <si>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</si>
  <si>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4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</si>
  <si>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</si>
  <si>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4"/>
  </si>
  <si>
    <t>Bug Count</t>
    <phoneticPr fontId="4"/>
  </si>
  <si>
    <t>Test Cases</t>
    <phoneticPr fontId="4"/>
  </si>
  <si>
    <t>Done</t>
    <phoneticPr fontId="4"/>
  </si>
  <si>
    <t>Total Test</t>
    <phoneticPr fontId="4"/>
  </si>
  <si>
    <t>Not Done</t>
    <phoneticPr fontId="4"/>
  </si>
  <si>
    <t>Total Bugs</t>
    <phoneticPr fontId="4"/>
  </si>
  <si>
    <t>Project Code</t>
    <phoneticPr fontId="4"/>
  </si>
  <si>
    <t>Creators Name</t>
    <phoneticPr fontId="4"/>
  </si>
  <si>
    <t>Date</t>
    <phoneticPr fontId="4"/>
  </si>
  <si>
    <t>Module Code</t>
    <phoneticPr fontId="4"/>
  </si>
  <si>
    <t>Page</t>
    <phoneticPr fontId="4"/>
  </si>
  <si>
    <t>1</t>
    <phoneticPr fontId="4"/>
  </si>
  <si>
    <t>Verification of path flow during program execution</t>
    <phoneticPr fontId="4"/>
  </si>
  <si>
    <t>Condition Type</t>
    <phoneticPr fontId="4"/>
  </si>
  <si>
    <t>Tested By</t>
    <phoneticPr fontId="4"/>
  </si>
  <si>
    <t>Test Date</t>
    <phoneticPr fontId="4"/>
  </si>
  <si>
    <t>Test Result</t>
    <phoneticPr fontId="4"/>
  </si>
  <si>
    <t>Bug ID</t>
    <phoneticPr fontId="4"/>
  </si>
  <si>
    <t>Bug Count</t>
    <phoneticPr fontId="4"/>
  </si>
  <si>
    <t xml:space="preserve"> 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</si>
  <si>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</si>
  <si>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</si>
  <si>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</si>
  <si>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</si>
  <si>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</si>
  <si>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</si>
  <si>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Click "Add New PCL" button, 
to add new PCL sheet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</si>
  <si>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</si>
  <si>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</si>
  <si>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</si>
  <si>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</si>
  <si>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</si>
  <si>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</si>
  <si>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Page_Load</t>
    <phoneticPr fontId="4"/>
  </si>
  <si>
    <t>Login click without entering username and password</t>
    <phoneticPr fontId="4"/>
  </si>
  <si>
    <t>Login click after entering usernmae and password</t>
    <phoneticPr fontId="4"/>
  </si>
  <si>
    <t>Logout_Click</t>
    <phoneticPr fontId="4"/>
  </si>
  <si>
    <t>JVS</t>
    <phoneticPr fontId="4"/>
  </si>
  <si>
    <t>Struts &amp; Hibernate Skillup</t>
    <phoneticPr fontId="4"/>
  </si>
  <si>
    <t>Jyoti Shirhatti</t>
    <phoneticPr fontId="4"/>
  </si>
  <si>
    <t>Assignmnet 2</t>
    <phoneticPr fontId="4"/>
  </si>
  <si>
    <t>Login</t>
    <phoneticPr fontId="4"/>
  </si>
  <si>
    <t>Day 4</t>
    <phoneticPr fontId="4"/>
  </si>
  <si>
    <t>login.jsp</t>
    <phoneticPr fontId="4"/>
  </si>
  <si>
    <t>page_load</t>
    <phoneticPr fontId="4"/>
  </si>
  <si>
    <t>Page_Load</t>
    <phoneticPr fontId="4"/>
  </si>
  <si>
    <t>Username</t>
    <phoneticPr fontId="23"/>
  </si>
  <si>
    <t>Password</t>
    <phoneticPr fontId="23"/>
  </si>
  <si>
    <t>Page title</t>
    <phoneticPr fontId="23"/>
  </si>
  <si>
    <t>Header Title</t>
    <phoneticPr fontId="23"/>
  </si>
  <si>
    <t>Operation Button</t>
    <phoneticPr fontId="23"/>
  </si>
  <si>
    <t>Exception</t>
    <phoneticPr fontId="23"/>
  </si>
  <si>
    <t>Session Timeout</t>
    <phoneticPr fontId="23"/>
  </si>
  <si>
    <t>1</t>
    <phoneticPr fontId="23"/>
  </si>
  <si>
    <t>2</t>
    <phoneticPr fontId="23"/>
  </si>
  <si>
    <t>3</t>
    <phoneticPr fontId="23"/>
  </si>
  <si>
    <t>4</t>
    <phoneticPr fontId="23"/>
  </si>
  <si>
    <t>6</t>
    <phoneticPr fontId="23"/>
  </si>
  <si>
    <t>7</t>
    <phoneticPr fontId="23"/>
  </si>
  <si>
    <t>1) Login</t>
    <phoneticPr fontId="23"/>
  </si>
  <si>
    <t>2) Clear</t>
    <phoneticPr fontId="23"/>
  </si>
  <si>
    <t>Elements</t>
    <phoneticPr fontId="4"/>
  </si>
  <si>
    <t>Blank</t>
    <phoneticPr fontId="23"/>
  </si>
  <si>
    <t>Editable</t>
    <phoneticPr fontId="23"/>
  </si>
  <si>
    <t>Clickable</t>
    <phoneticPr fontId="23"/>
  </si>
  <si>
    <t>Visible</t>
    <phoneticPr fontId="4"/>
  </si>
  <si>
    <t>True</t>
    <phoneticPr fontId="23"/>
  </si>
  <si>
    <t>Focus</t>
    <phoneticPr fontId="23"/>
  </si>
  <si>
    <t>Page Title</t>
    <phoneticPr fontId="23"/>
  </si>
  <si>
    <t>Header text</t>
    <phoneticPr fontId="23"/>
  </si>
  <si>
    <t>Page will redirecting to error page</t>
    <phoneticPr fontId="23"/>
  </si>
  <si>
    <t>Page will redirecting to session page</t>
    <phoneticPr fontId="23"/>
  </si>
  <si>
    <t xml:space="preserve">Login </t>
    <phoneticPr fontId="23"/>
  </si>
  <si>
    <t>○</t>
  </si>
  <si>
    <t>=GetBugSheetName()</t>
  </si>
  <si>
    <t>Login_Click</t>
  </si>
  <si>
    <t>Blank</t>
  </si>
  <si>
    <t>login.jsp</t>
    <phoneticPr fontId="26"/>
  </si>
  <si>
    <t>1 Username</t>
    <phoneticPr fontId="26"/>
  </si>
  <si>
    <t xml:space="preserve">Invalid Username </t>
    <phoneticPr fontId="26"/>
  </si>
  <si>
    <t>2 Password</t>
    <phoneticPr fontId="26"/>
  </si>
  <si>
    <t>Invalid Password</t>
    <phoneticPr fontId="26"/>
  </si>
  <si>
    <t>3 Submit Button Click</t>
    <phoneticPr fontId="26"/>
  </si>
  <si>
    <t>4 Exception Occurred</t>
    <phoneticPr fontId="26"/>
  </si>
  <si>
    <t>Database Connection Error</t>
    <phoneticPr fontId="26"/>
  </si>
  <si>
    <t>SQL Exception</t>
    <phoneticPr fontId="4"/>
  </si>
  <si>
    <t>Exception</t>
    <phoneticPr fontId="26"/>
  </si>
  <si>
    <t>ADI123456</t>
    <phoneticPr fontId="26"/>
  </si>
  <si>
    <t>ADI@12345</t>
    <phoneticPr fontId="26"/>
  </si>
  <si>
    <t>Below error message is displayed</t>
  </si>
  <si>
    <t>Please enter username and password !</t>
    <phoneticPr fontId="26"/>
  </si>
  <si>
    <t>Please enter username !</t>
    <phoneticPr fontId="26"/>
  </si>
  <si>
    <t>Please enter password !</t>
    <phoneticPr fontId="26"/>
  </si>
  <si>
    <t>Username and password is invalid !</t>
    <phoneticPr fontId="26"/>
  </si>
  <si>
    <t>No error message is displayed</t>
  </si>
  <si>
    <t>Inputed Data authenticate with DB as</t>
    <phoneticPr fontId="26"/>
  </si>
  <si>
    <t>Invoke LoginInterceptor to check user in session</t>
    <phoneticPr fontId="26"/>
  </si>
  <si>
    <t>No error message is displayed and redirect to success.jsp Page</t>
    <phoneticPr fontId="26"/>
  </si>
  <si>
    <t>Error message will display on Login Page</t>
    <phoneticPr fontId="26"/>
  </si>
  <si>
    <t>Errro Message</t>
  </si>
  <si>
    <t>Error Occurred while connecting to the database</t>
    <phoneticPr fontId="26"/>
  </si>
  <si>
    <t>Error Occurred while Executing the query</t>
    <phoneticPr fontId="26"/>
  </si>
  <si>
    <t>Error Occurred. Please Contact admin for assistance</t>
    <phoneticPr fontId="26"/>
  </si>
  <si>
    <t>Username: ADI123456</t>
    <phoneticPr fontId="26"/>
  </si>
  <si>
    <t>Password: ADI@12345</t>
    <phoneticPr fontId="26"/>
  </si>
  <si>
    <t>N</t>
  </si>
  <si>
    <t>A</t>
  </si>
  <si>
    <t>Jyoti</t>
    <phoneticPr fontId="4"/>
  </si>
  <si>
    <t>OK</t>
  </si>
  <si>
    <t>Logout_Click</t>
  </si>
  <si>
    <t>Login_Click</t>
    <phoneticPr fontId="4"/>
  </si>
  <si>
    <t>Success.jsp</t>
    <phoneticPr fontId="4"/>
  </si>
  <si>
    <t>Logout_Click</t>
    <phoneticPr fontId="4"/>
  </si>
  <si>
    <t>UserDetails Displayed</t>
    <phoneticPr fontId="4"/>
  </si>
  <si>
    <t>userdetails.FirstName</t>
    <phoneticPr fontId="4"/>
  </si>
  <si>
    <t>userdetails.MiddleInitial</t>
    <phoneticPr fontId="4"/>
  </si>
  <si>
    <t>userdetails.lastName</t>
    <phoneticPr fontId="4"/>
  </si>
  <si>
    <t>userdetails.sex</t>
    <phoneticPr fontId="4"/>
  </si>
  <si>
    <t>userdetails.emailid</t>
    <phoneticPr fontId="4"/>
  </si>
  <si>
    <t>userdetails.birthdate</t>
    <phoneticPr fontId="4"/>
  </si>
  <si>
    <t>userdetails.address</t>
    <phoneticPr fontId="4"/>
  </si>
  <si>
    <t>Logout Button Click</t>
    <phoneticPr fontId="4"/>
  </si>
  <si>
    <t>1 Invalidate session</t>
    <phoneticPr fontId="26"/>
  </si>
  <si>
    <t>2 Redirect To login.jsp Page</t>
    <phoneticPr fontId="26"/>
  </si>
  <si>
    <t>Page Title</t>
    <phoneticPr fontId="4"/>
  </si>
  <si>
    <t xml:space="preserve">UserDetails </t>
    <phoneticPr fontId="4"/>
  </si>
  <si>
    <t xml:space="preserve">Focus will set on username </t>
    <phoneticPr fontId="26"/>
  </si>
  <si>
    <t>Clear_Click</t>
  </si>
  <si>
    <t>Struts&amp;Hibernate Skillup</t>
    <phoneticPr fontId="4"/>
  </si>
  <si>
    <t>Jyoti Shirahatti</t>
    <phoneticPr fontId="4"/>
  </si>
  <si>
    <t xml:space="preserve">Assignment2 </t>
    <phoneticPr fontId="4"/>
  </si>
  <si>
    <t>Login</t>
    <phoneticPr fontId="4"/>
  </si>
  <si>
    <t>Day 4</t>
    <phoneticPr fontId="4"/>
  </si>
  <si>
    <t>Struts&amp; HibernateSkillup</t>
    <phoneticPr fontId="4"/>
  </si>
  <si>
    <t>Assignment 2</t>
    <phoneticPr fontId="4"/>
  </si>
  <si>
    <t>login.jsp</t>
    <phoneticPr fontId="4"/>
  </si>
  <si>
    <t>Clear_Click</t>
    <phoneticPr fontId="4"/>
  </si>
  <si>
    <t>1 Clear Button Click</t>
  </si>
  <si>
    <t>UserName</t>
    <phoneticPr fontId="4"/>
  </si>
  <si>
    <t>Blank</t>
    <phoneticPr fontId="4"/>
  </si>
  <si>
    <t>PassWord</t>
    <phoneticPr fontId="4"/>
  </si>
  <si>
    <t>Focus set on username</t>
    <phoneticPr fontId="4"/>
  </si>
</sst>
</file>

<file path=xl/styles.xml><?xml version="1.0" encoding="utf-8"?>
<styleSheet xmlns="http://schemas.openxmlformats.org/spreadsheetml/2006/main">
  <numFmts count="2">
    <numFmt numFmtId="184" formatCode="0;[Red]0"/>
    <numFmt numFmtId="186" formatCode="yyyy/mm/dd;[Red]@"/>
  </numFmts>
  <fonts count="29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Times New Roman"/>
      <family val="1"/>
    </font>
    <font>
      <sz val="6"/>
      <name val="ＭＳ Ｐゴシック"/>
      <family val="3"/>
      <charset val="128"/>
    </font>
    <font>
      <sz val="8"/>
      <color indexed="8"/>
      <name val="Tahoma"/>
      <family val="2"/>
    </font>
    <font>
      <b/>
      <sz val="8"/>
      <color indexed="8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5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</borders>
  <cellStyleXfs count="9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8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</cellStyleXfs>
  <cellXfs count="258">
    <xf numFmtId="0" fontId="0" fillId="0" borderId="0" xfId="0"/>
    <xf numFmtId="49" fontId="11" fillId="0" borderId="0" xfId="8" applyNumberFormat="1" applyFont="1" applyFill="1">
      <alignment vertical="center"/>
    </xf>
    <xf numFmtId="0" fontId="12" fillId="0" borderId="0" xfId="4" applyFont="1" applyAlignment="1">
      <alignment vertical="center"/>
    </xf>
    <xf numFmtId="0" fontId="12" fillId="0" borderId="0" xfId="4" applyFont="1" applyAlignment="1">
      <alignment horizontal="center" vertical="center" wrapText="1"/>
    </xf>
    <xf numFmtId="0" fontId="12" fillId="0" borderId="0" xfId="4" applyFont="1" applyAlignment="1">
      <alignment horizontal="center" vertical="center"/>
    </xf>
    <xf numFmtId="184" fontId="14" fillId="0" borderId="1" xfId="4" applyNumberFormat="1" applyFont="1" applyFill="1" applyBorder="1" applyAlignment="1">
      <alignment horizontal="center" vertical="center"/>
    </xf>
    <xf numFmtId="184" fontId="14" fillId="0" borderId="1" xfId="4" applyNumberFormat="1" applyFont="1" applyFill="1" applyBorder="1" applyAlignment="1">
      <alignment horizontal="left" vertical="center"/>
    </xf>
    <xf numFmtId="184" fontId="14" fillId="0" borderId="2" xfId="4" applyNumberFormat="1" applyFont="1" applyFill="1" applyBorder="1" applyAlignment="1">
      <alignment horizontal="center" vertical="center"/>
    </xf>
    <xf numFmtId="0" fontId="14" fillId="0" borderId="0" xfId="4" applyFont="1" applyFill="1" applyBorder="1" applyAlignment="1">
      <alignment horizontal="center" vertical="center"/>
    </xf>
    <xf numFmtId="49" fontId="11" fillId="0" borderId="0" xfId="8" applyNumberFormat="1" applyFont="1" applyFill="1" applyBorder="1">
      <alignment vertical="center"/>
    </xf>
    <xf numFmtId="49" fontId="11" fillId="0" borderId="3" xfId="8" applyNumberFormat="1" applyFont="1" applyFill="1" applyBorder="1" applyAlignment="1"/>
    <xf numFmtId="184" fontId="11" fillId="0" borderId="4" xfId="8" applyNumberFormat="1" applyFont="1" applyFill="1" applyBorder="1" applyAlignment="1">
      <alignment horizontal="center" vertical="center"/>
    </xf>
    <xf numFmtId="184" fontId="11" fillId="0" borderId="5" xfId="8" applyNumberFormat="1" applyFont="1" applyFill="1" applyBorder="1" applyAlignment="1">
      <alignment horizontal="center" vertical="center"/>
    </xf>
    <xf numFmtId="184" fontId="11" fillId="0" borderId="6" xfId="8" applyNumberFormat="1" applyFont="1" applyFill="1" applyBorder="1" applyAlignment="1">
      <alignment horizontal="center" vertical="center"/>
    </xf>
    <xf numFmtId="49" fontId="11" fillId="0" borderId="7" xfId="0" applyNumberFormat="1" applyFont="1" applyFill="1" applyBorder="1" applyAlignment="1">
      <alignment horizontal="center" vertical="top" wrapText="1"/>
    </xf>
    <xf numFmtId="49" fontId="11" fillId="0" borderId="8" xfId="0" applyNumberFormat="1" applyFont="1" applyFill="1" applyBorder="1" applyAlignment="1">
      <alignment horizontal="center" vertical="top" wrapText="1"/>
    </xf>
    <xf numFmtId="49" fontId="11" fillId="0" borderId="9" xfId="0" applyNumberFormat="1" applyFont="1" applyFill="1" applyBorder="1" applyAlignment="1">
      <alignment horizontal="center" vertical="top" wrapText="1"/>
    </xf>
    <xf numFmtId="49" fontId="11" fillId="0" borderId="0" xfId="8" applyNumberFormat="1" applyFont="1" applyFill="1" applyAlignment="1">
      <alignment vertical="center" wrapText="1"/>
    </xf>
    <xf numFmtId="49" fontId="11" fillId="0" borderId="10" xfId="0" applyNumberFormat="1" applyFont="1" applyFill="1" applyBorder="1" applyAlignment="1">
      <alignment horizontal="center" vertical="top" wrapText="1"/>
    </xf>
    <xf numFmtId="49" fontId="11" fillId="0" borderId="11" xfId="0" applyNumberFormat="1" applyFont="1" applyFill="1" applyBorder="1" applyAlignment="1">
      <alignment horizontal="center" vertical="top" wrapText="1"/>
    </xf>
    <xf numFmtId="49" fontId="11" fillId="0" borderId="12" xfId="0" applyNumberFormat="1" applyFont="1" applyFill="1" applyBorder="1" applyAlignment="1">
      <alignment horizontal="center" vertical="top" wrapText="1"/>
    </xf>
    <xf numFmtId="49" fontId="11" fillId="0" borderId="0" xfId="0" applyNumberFormat="1" applyFont="1" applyFill="1" applyBorder="1" applyAlignment="1">
      <alignment horizontal="left" vertical="top" wrapText="1"/>
    </xf>
    <xf numFmtId="49" fontId="11" fillId="0" borderId="10" xfId="0" applyNumberFormat="1" applyFont="1" applyFill="1" applyBorder="1" applyAlignment="1">
      <alignment horizontal="center" vertical="center" wrapText="1"/>
    </xf>
    <xf numFmtId="49" fontId="11" fillId="0" borderId="11" xfId="0" applyNumberFormat="1" applyFont="1" applyFill="1" applyBorder="1" applyAlignment="1">
      <alignment horizontal="center" vertical="center" wrapText="1"/>
    </xf>
    <xf numFmtId="49" fontId="11" fillId="0" borderId="12" xfId="0" applyNumberFormat="1" applyFont="1" applyFill="1" applyBorder="1" applyAlignment="1">
      <alignment horizontal="center" vertical="center" wrapText="1"/>
    </xf>
    <xf numFmtId="49" fontId="11" fillId="0" borderId="7" xfId="0" applyNumberFormat="1" applyFont="1" applyFill="1" applyBorder="1" applyAlignment="1">
      <alignment horizontal="center" vertical="center" wrapText="1"/>
    </xf>
    <xf numFmtId="49" fontId="11" fillId="0" borderId="8" xfId="0" applyNumberFormat="1" applyFont="1" applyFill="1" applyBorder="1" applyAlignment="1">
      <alignment horizontal="center" vertical="center" wrapText="1"/>
    </xf>
    <xf numFmtId="49" fontId="11" fillId="0" borderId="9" xfId="0" applyNumberFormat="1" applyFont="1" applyFill="1" applyBorder="1" applyAlignment="1">
      <alignment horizontal="center" vertical="center" wrapText="1"/>
    </xf>
    <xf numFmtId="49" fontId="11" fillId="0" borderId="13" xfId="0" applyNumberFormat="1" applyFont="1" applyFill="1" applyBorder="1" applyAlignment="1">
      <alignment horizontal="left" vertical="top" wrapText="1"/>
    </xf>
    <xf numFmtId="49" fontId="11" fillId="0" borderId="14" xfId="0" applyNumberFormat="1" applyFont="1" applyFill="1" applyBorder="1" applyAlignment="1">
      <alignment horizontal="center" vertical="center" wrapText="1"/>
    </xf>
    <xf numFmtId="49" fontId="11" fillId="0" borderId="15" xfId="0" applyNumberFormat="1" applyFont="1" applyFill="1" applyBorder="1" applyAlignment="1">
      <alignment horizontal="center" vertical="center" wrapText="1"/>
    </xf>
    <xf numFmtId="49" fontId="11" fillId="0" borderId="16" xfId="0" applyNumberFormat="1" applyFont="1" applyFill="1" applyBorder="1" applyAlignment="1">
      <alignment horizontal="center" vertical="center" wrapText="1"/>
    </xf>
    <xf numFmtId="49" fontId="11" fillId="0" borderId="17" xfId="0" applyNumberFormat="1" applyFont="1" applyFill="1" applyBorder="1" applyAlignment="1">
      <alignment horizontal="center" vertical="center" wrapText="1"/>
    </xf>
    <xf numFmtId="49" fontId="11" fillId="0" borderId="18" xfId="0" applyNumberFormat="1" applyFont="1" applyFill="1" applyBorder="1" applyAlignment="1">
      <alignment horizontal="center" vertical="center" wrapText="1"/>
    </xf>
    <xf numFmtId="49" fontId="11" fillId="0" borderId="19" xfId="0" applyNumberFormat="1" applyFont="1" applyFill="1" applyBorder="1" applyAlignment="1">
      <alignment horizontal="center" vertical="center" wrapText="1"/>
    </xf>
    <xf numFmtId="49" fontId="11" fillId="0" borderId="20" xfId="8" applyNumberFormat="1" applyFont="1" applyFill="1" applyBorder="1" applyAlignment="1">
      <alignment horizontal="center" vertical="center" wrapText="1"/>
    </xf>
    <xf numFmtId="49" fontId="11" fillId="0" borderId="7" xfId="8" applyNumberFormat="1" applyFont="1" applyFill="1" applyBorder="1" applyAlignment="1">
      <alignment horizontal="center" vertical="center" wrapText="1"/>
    </xf>
    <xf numFmtId="49" fontId="11" fillId="0" borderId="8" xfId="8" applyNumberFormat="1" applyFont="1" applyFill="1" applyBorder="1" applyAlignment="1">
      <alignment horizontal="center" vertical="center" wrapText="1"/>
    </xf>
    <xf numFmtId="49" fontId="11" fillId="0" borderId="9" xfId="8" applyNumberFormat="1" applyFont="1" applyFill="1" applyBorder="1" applyAlignment="1">
      <alignment horizontal="center" vertical="center" wrapText="1"/>
    </xf>
    <xf numFmtId="49" fontId="11" fillId="0" borderId="21" xfId="8" applyNumberFormat="1" applyFont="1" applyFill="1" applyBorder="1" applyAlignment="1">
      <alignment horizontal="center" vertical="center" wrapText="1"/>
    </xf>
    <xf numFmtId="49" fontId="11" fillId="0" borderId="10" xfId="8" applyNumberFormat="1" applyFont="1" applyFill="1" applyBorder="1" applyAlignment="1">
      <alignment horizontal="center" vertical="center" wrapText="1"/>
    </xf>
    <xf numFmtId="49" fontId="11" fillId="0" borderId="11" xfId="8" applyNumberFormat="1" applyFont="1" applyFill="1" applyBorder="1" applyAlignment="1">
      <alignment horizontal="center" vertical="center" wrapText="1"/>
    </xf>
    <xf numFmtId="49" fontId="11" fillId="0" borderId="12" xfId="8" applyNumberFormat="1" applyFont="1" applyFill="1" applyBorder="1" applyAlignment="1">
      <alignment horizontal="center" vertical="center" wrapText="1"/>
    </xf>
    <xf numFmtId="186" fontId="11" fillId="0" borderId="10" xfId="8" applyNumberFormat="1" applyFont="1" applyFill="1" applyBorder="1" applyAlignment="1">
      <alignment horizontal="center" vertical="center" wrapText="1"/>
    </xf>
    <xf numFmtId="186" fontId="11" fillId="0" borderId="11" xfId="8" applyNumberFormat="1" applyFont="1" applyFill="1" applyBorder="1" applyAlignment="1">
      <alignment horizontal="center" vertical="center" wrapText="1"/>
    </xf>
    <xf numFmtId="186" fontId="11" fillId="0" borderId="12" xfId="8" applyNumberFormat="1" applyFont="1" applyFill="1" applyBorder="1" applyAlignment="1">
      <alignment horizontal="center" vertical="center" wrapText="1"/>
    </xf>
    <xf numFmtId="49" fontId="11" fillId="0" borderId="22" xfId="8" applyNumberFormat="1" applyFont="1" applyFill="1" applyBorder="1" applyAlignment="1">
      <alignment horizontal="center" vertical="center" wrapText="1"/>
    </xf>
    <xf numFmtId="49" fontId="11" fillId="0" borderId="0" xfId="8" applyNumberFormat="1" applyFont="1" applyFill="1" applyAlignment="1">
      <alignment horizontal="center" vertical="center" wrapText="1"/>
    </xf>
    <xf numFmtId="49" fontId="11" fillId="0" borderId="23" xfId="8" applyNumberFormat="1" applyFont="1" applyFill="1" applyBorder="1" applyAlignment="1">
      <alignment horizontal="center" vertical="center" wrapText="1"/>
    </xf>
    <xf numFmtId="49" fontId="11" fillId="0" borderId="0" xfId="8" applyNumberFormat="1" applyFont="1" applyFill="1" applyBorder="1" applyAlignment="1">
      <alignment horizontal="center" vertical="center" wrapText="1"/>
    </xf>
    <xf numFmtId="49" fontId="11" fillId="0" borderId="0" xfId="8" applyNumberFormat="1" applyFont="1" applyFill="1" applyBorder="1" applyAlignment="1">
      <alignment vertical="center" wrapText="1"/>
    </xf>
    <xf numFmtId="49" fontId="11" fillId="0" borderId="0" xfId="8" applyNumberFormat="1" applyFont="1" applyFill="1" applyBorder="1" applyAlignment="1">
      <alignment horizontal="center" vertical="center"/>
    </xf>
    <xf numFmtId="184" fontId="14" fillId="0" borderId="2" xfId="4" applyNumberFormat="1" applyFont="1" applyFill="1" applyBorder="1" applyAlignment="1">
      <alignment horizontal="left" vertical="center"/>
    </xf>
    <xf numFmtId="49" fontId="11" fillId="0" borderId="15" xfId="8" applyNumberFormat="1" applyFont="1" applyFill="1" applyBorder="1" applyAlignment="1">
      <alignment horizontal="center" vertical="center" wrapText="1"/>
    </xf>
    <xf numFmtId="49" fontId="11" fillId="0" borderId="16" xfId="8" applyNumberFormat="1" applyFont="1" applyFill="1" applyBorder="1" applyAlignment="1">
      <alignment horizontal="center" vertical="center" wrapText="1"/>
    </xf>
    <xf numFmtId="0" fontId="11" fillId="0" borderId="18" xfId="8" applyNumberFormat="1" applyFont="1" applyFill="1" applyBorder="1" applyAlignment="1">
      <alignment horizontal="center" vertical="center" wrapText="1"/>
    </xf>
    <xf numFmtId="0" fontId="11" fillId="0" borderId="19" xfId="8" applyNumberFormat="1" applyFont="1" applyFill="1" applyBorder="1" applyAlignment="1">
      <alignment horizontal="center" vertical="center" wrapText="1"/>
    </xf>
    <xf numFmtId="184" fontId="12" fillId="0" borderId="0" xfId="4" applyNumberFormat="1" applyFont="1" applyFill="1" applyBorder="1" applyAlignment="1">
      <alignment horizontal="center" vertical="center"/>
    </xf>
    <xf numFmtId="184" fontId="12" fillId="0" borderId="0" xfId="4" applyNumberFormat="1" applyFont="1" applyFill="1" applyBorder="1" applyAlignment="1">
      <alignment horizontal="left" vertical="center"/>
    </xf>
    <xf numFmtId="0" fontId="12" fillId="0" borderId="0" xfId="4" applyFont="1" applyFill="1" applyAlignment="1">
      <alignment horizontal="center" vertical="center"/>
    </xf>
    <xf numFmtId="49" fontId="11" fillId="0" borderId="14" xfId="8" applyNumberFormat="1" applyFont="1" applyFill="1" applyBorder="1" applyAlignment="1">
      <alignment horizontal="center" vertical="center" wrapText="1"/>
    </xf>
    <xf numFmtId="0" fontId="11" fillId="0" borderId="17" xfId="8" applyNumberFormat="1" applyFont="1" applyFill="1" applyBorder="1" applyAlignment="1">
      <alignment horizontal="center" vertical="center" wrapText="1"/>
    </xf>
    <xf numFmtId="49" fontId="15" fillId="0" borderId="11" xfId="0" applyNumberFormat="1" applyFont="1" applyFill="1" applyBorder="1" applyAlignment="1">
      <alignment horizontal="center" vertical="center" wrapText="1"/>
    </xf>
    <xf numFmtId="49" fontId="11" fillId="2" borderId="7" xfId="8" applyNumberFormat="1" applyFont="1" applyFill="1" applyBorder="1" applyAlignment="1">
      <alignment vertical="center"/>
    </xf>
    <xf numFmtId="49" fontId="11" fillId="2" borderId="17" xfId="8" applyNumberFormat="1" applyFont="1" applyFill="1" applyBorder="1" applyAlignment="1">
      <alignment vertical="center"/>
    </xf>
    <xf numFmtId="49" fontId="16" fillId="0" borderId="24" xfId="8" applyNumberFormat="1" applyFont="1" applyFill="1" applyBorder="1" applyAlignment="1">
      <alignment horizontal="right" vertical="top" wrapText="1"/>
    </xf>
    <xf numFmtId="49" fontId="21" fillId="0" borderId="4" xfId="8" applyNumberFormat="1" applyFont="1" applyFill="1" applyBorder="1" applyAlignment="1"/>
    <xf numFmtId="49" fontId="15" fillId="0" borderId="8" xfId="0" applyNumberFormat="1" applyFont="1" applyFill="1" applyBorder="1" applyAlignment="1">
      <alignment horizontal="center" vertical="center" wrapText="1"/>
    </xf>
    <xf numFmtId="49" fontId="15" fillId="0" borderId="15" xfId="0" applyNumberFormat="1" applyFont="1" applyFill="1" applyBorder="1" applyAlignment="1">
      <alignment horizontal="center" vertical="center" wrapText="1"/>
    </xf>
    <xf numFmtId="49" fontId="15" fillId="0" borderId="11" xfId="8" applyNumberFormat="1" applyFont="1" applyFill="1" applyBorder="1" applyAlignment="1">
      <alignment horizontal="center" vertical="center" wrapText="1"/>
    </xf>
    <xf numFmtId="49" fontId="15" fillId="0" borderId="18" xfId="0" applyNumberFormat="1" applyFont="1" applyFill="1" applyBorder="1" applyAlignment="1">
      <alignment horizontal="center" vertical="center" wrapText="1"/>
    </xf>
    <xf numFmtId="0" fontId="1" fillId="0" borderId="0" xfId="0" applyFont="1"/>
    <xf numFmtId="49" fontId="11" fillId="0" borderId="1" xfId="3" applyNumberFormat="1" applyFont="1" applyFill="1" applyBorder="1" applyAlignment="1">
      <alignment horizontal="left" vertical="top" wrapText="1"/>
    </xf>
    <xf numFmtId="49" fontId="11" fillId="0" borderId="11" xfId="3" applyNumberFormat="1" applyFont="1" applyFill="1" applyBorder="1" applyAlignment="1">
      <alignment vertical="top" wrapText="1"/>
    </xf>
    <xf numFmtId="49" fontId="11" fillId="0" borderId="15" xfId="3" applyNumberFormat="1" applyFont="1" applyFill="1" applyBorder="1" applyAlignment="1">
      <alignment horizontal="left" vertical="top" wrapText="1"/>
    </xf>
    <xf numFmtId="49" fontId="11" fillId="0" borderId="11" xfId="3" applyNumberFormat="1" applyFont="1" applyFill="1" applyBorder="1" applyAlignment="1">
      <alignment horizontal="left" vertical="top" wrapText="1"/>
    </xf>
    <xf numFmtId="49" fontId="11" fillId="0" borderId="18" xfId="3" applyNumberFormat="1" applyFont="1" applyFill="1" applyBorder="1" applyAlignment="1">
      <alignment vertical="top" wrapText="1"/>
    </xf>
    <xf numFmtId="49" fontId="11" fillId="0" borderId="25" xfId="0" applyNumberFormat="1" applyFont="1" applyFill="1" applyBorder="1" applyAlignment="1">
      <alignment horizontal="center" vertical="center" wrapText="1"/>
    </xf>
    <xf numFmtId="49" fontId="11" fillId="0" borderId="26" xfId="0" applyNumberFormat="1" applyFont="1" applyFill="1" applyBorder="1" applyAlignment="1">
      <alignment horizontal="center" vertical="center" wrapText="1"/>
    </xf>
    <xf numFmtId="49" fontId="11" fillId="0" borderId="27" xfId="0" applyNumberFormat="1" applyFont="1" applyFill="1" applyBorder="1" applyAlignment="1">
      <alignment horizontal="center" vertical="center" wrapText="1"/>
    </xf>
    <xf numFmtId="49" fontId="11" fillId="0" borderId="15" xfId="7" applyNumberFormat="1" applyFont="1" applyFill="1" applyBorder="1" applyAlignment="1">
      <alignment horizontal="left" wrapText="1"/>
    </xf>
    <xf numFmtId="49" fontId="11" fillId="0" borderId="11" xfId="7" applyNumberFormat="1" applyFont="1" applyFill="1" applyBorder="1" applyAlignment="1">
      <alignment horizontal="left" wrapText="1"/>
    </xf>
    <xf numFmtId="49" fontId="24" fillId="0" borderId="11" xfId="2" applyNumberFormat="1" applyFont="1" applyFill="1" applyBorder="1" applyAlignment="1">
      <alignment horizontal="center" wrapText="1"/>
    </xf>
    <xf numFmtId="49" fontId="25" fillId="0" borderId="11" xfId="3" applyNumberFormat="1" applyFont="1" applyFill="1" applyBorder="1" applyAlignment="1">
      <alignment horizontal="center" vertical="center" wrapText="1"/>
    </xf>
    <xf numFmtId="49" fontId="25" fillId="0" borderId="10" xfId="3" applyNumberFormat="1" applyFont="1" applyFill="1" applyBorder="1" applyAlignment="1">
      <alignment horizontal="center" vertical="center" wrapText="1"/>
    </xf>
    <xf numFmtId="49" fontId="24" fillId="0" borderId="11" xfId="3" applyNumberFormat="1" applyFont="1" applyFill="1" applyBorder="1" applyAlignment="1">
      <alignment horizontal="center" vertical="center" wrapText="1"/>
    </xf>
    <xf numFmtId="49" fontId="25" fillId="0" borderId="1" xfId="3" applyNumberFormat="1" applyFont="1" applyFill="1" applyBorder="1" applyAlignment="1">
      <alignment horizontal="center" vertical="center" wrapText="1"/>
    </xf>
    <xf numFmtId="49" fontId="25" fillId="0" borderId="26" xfId="0" applyNumberFormat="1" applyFont="1" applyFill="1" applyBorder="1" applyAlignment="1">
      <alignment horizontal="center" vertical="center" wrapText="1"/>
    </xf>
    <xf numFmtId="49" fontId="25" fillId="0" borderId="25" xfId="0" applyNumberFormat="1" applyFont="1" applyFill="1" applyBorder="1" applyAlignment="1">
      <alignment horizontal="center" vertical="center" wrapText="1"/>
    </xf>
    <xf numFmtId="0" fontId="12" fillId="0" borderId="2" xfId="0" applyFont="1" applyBorder="1" applyAlignment="1">
      <alignment horizontal="left" vertical="top" wrapText="1"/>
    </xf>
    <xf numFmtId="49" fontId="24" fillId="0" borderId="51" xfId="2" applyNumberFormat="1" applyFont="1" applyFill="1" applyBorder="1" applyAlignment="1">
      <alignment horizontal="left" vertical="top" wrapText="1"/>
    </xf>
    <xf numFmtId="49" fontId="24" fillId="0" borderId="11" xfId="2" applyNumberFormat="1" applyFont="1" applyFill="1" applyBorder="1" applyAlignment="1">
      <alignment horizontal="left" vertical="top" wrapText="1"/>
    </xf>
    <xf numFmtId="49" fontId="24" fillId="0" borderId="11" xfId="3" applyNumberFormat="1" applyFont="1" applyFill="1" applyBorder="1" applyAlignment="1">
      <alignment horizontal="left" vertical="top" wrapText="1"/>
    </xf>
    <xf numFmtId="49" fontId="25" fillId="0" borderId="11" xfId="3" applyNumberFormat="1" applyFont="1" applyFill="1" applyBorder="1" applyAlignment="1">
      <alignment vertical="top" wrapText="1"/>
    </xf>
    <xf numFmtId="49" fontId="24" fillId="0" borderId="52" xfId="2" applyNumberFormat="1" applyFont="1" applyFill="1" applyBorder="1" applyAlignment="1">
      <alignment horizontal="left" vertical="top" wrapText="1"/>
    </xf>
    <xf numFmtId="49" fontId="24" fillId="0" borderId="53" xfId="3" applyNumberFormat="1" applyFont="1" applyFill="1" applyBorder="1" applyAlignment="1">
      <alignment horizontal="center" vertical="center" wrapText="1"/>
    </xf>
    <xf numFmtId="49" fontId="15" fillId="0" borderId="26" xfId="0" applyNumberFormat="1" applyFont="1" applyFill="1" applyBorder="1" applyAlignment="1">
      <alignment horizontal="center" vertical="center" wrapText="1"/>
    </xf>
    <xf numFmtId="49" fontId="25" fillId="0" borderId="11" xfId="7" applyNumberFormat="1" applyFont="1" applyFill="1" applyBorder="1" applyAlignment="1">
      <alignment horizontal="left" wrapText="1"/>
    </xf>
    <xf numFmtId="49" fontId="24" fillId="0" borderId="11" xfId="7" applyNumberFormat="1" applyFont="1" applyFill="1" applyBorder="1" applyAlignment="1">
      <alignment wrapText="1"/>
    </xf>
    <xf numFmtId="49" fontId="24" fillId="0" borderId="11" xfId="7" applyNumberFormat="1" applyFont="1" applyFill="1" applyBorder="1" applyAlignment="1">
      <alignment horizontal="left" wrapText="1"/>
    </xf>
    <xf numFmtId="49" fontId="24" fillId="0" borderId="53" xfId="7" applyNumberFormat="1" applyFont="1" applyFill="1" applyBorder="1" applyAlignment="1">
      <alignment horizontal="left" wrapText="1"/>
    </xf>
    <xf numFmtId="49" fontId="24" fillId="0" borderId="11" xfId="2" applyNumberFormat="1" applyFont="1" applyFill="1" applyBorder="1" applyAlignment="1">
      <alignment horizontal="center" vertical="center" wrapText="1"/>
    </xf>
    <xf numFmtId="49" fontId="24" fillId="0" borderId="0" xfId="8" applyNumberFormat="1" applyFont="1" applyFill="1" applyAlignment="1">
      <alignment vertical="center" wrapText="1"/>
    </xf>
    <xf numFmtId="49" fontId="24" fillId="0" borderId="18" xfId="2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horizontal="center" vertical="top" wrapText="1"/>
    </xf>
    <xf numFmtId="49" fontId="11" fillId="0" borderId="31" xfId="0" applyNumberFormat="1" applyFont="1" applyFill="1" applyBorder="1" applyAlignment="1">
      <alignment horizontal="center" vertical="center" wrapText="1"/>
    </xf>
    <xf numFmtId="49" fontId="25" fillId="0" borderId="13" xfId="0" applyNumberFormat="1" applyFont="1" applyFill="1" applyBorder="1" applyAlignment="1">
      <alignment horizontal="left" vertical="top" wrapText="1"/>
    </xf>
    <xf numFmtId="49" fontId="25" fillId="0" borderId="0" xfId="0" applyNumberFormat="1" applyFont="1" applyFill="1" applyBorder="1" applyAlignment="1">
      <alignment horizontal="left" vertical="top" wrapText="1"/>
    </xf>
    <xf numFmtId="49" fontId="25" fillId="0" borderId="38" xfId="0" applyNumberFormat="1" applyFont="1" applyFill="1" applyBorder="1" applyAlignment="1">
      <alignment horizontal="center" vertical="top" wrapText="1"/>
    </xf>
    <xf numFmtId="184" fontId="12" fillId="4" borderId="22" xfId="4" applyNumberFormat="1" applyFont="1" applyFill="1" applyBorder="1" applyAlignment="1">
      <alignment horizontal="center" vertical="center"/>
    </xf>
    <xf numFmtId="184" fontId="12" fillId="4" borderId="1" xfId="4" applyNumberFormat="1" applyFont="1" applyFill="1" applyBorder="1" applyAlignment="1">
      <alignment horizontal="center" vertical="center"/>
    </xf>
    <xf numFmtId="184" fontId="12" fillId="4" borderId="28" xfId="4" applyNumberFormat="1" applyFont="1" applyFill="1" applyBorder="1" applyAlignment="1">
      <alignment horizontal="center" vertical="center"/>
    </xf>
    <xf numFmtId="184" fontId="12" fillId="2" borderId="22" xfId="4" applyNumberFormat="1" applyFont="1" applyFill="1" applyBorder="1" applyAlignment="1">
      <alignment horizontal="center" vertical="center"/>
    </xf>
    <xf numFmtId="184" fontId="12" fillId="2" borderId="1" xfId="4" applyNumberFormat="1" applyFont="1" applyFill="1" applyBorder="1" applyAlignment="1">
      <alignment horizontal="center" vertical="center"/>
    </xf>
    <xf numFmtId="184" fontId="12" fillId="2" borderId="28" xfId="4" applyNumberFormat="1" applyFont="1" applyFill="1" applyBorder="1" applyAlignment="1">
      <alignment horizontal="center" vertical="center"/>
    </xf>
    <xf numFmtId="184" fontId="12" fillId="0" borderId="22" xfId="4" applyNumberFormat="1" applyFont="1" applyBorder="1" applyAlignment="1">
      <alignment horizontal="center" vertical="center"/>
    </xf>
    <xf numFmtId="184" fontId="12" fillId="0" borderId="28" xfId="4" applyNumberFormat="1" applyFont="1" applyBorder="1" applyAlignment="1">
      <alignment horizontal="center" vertical="center"/>
    </xf>
    <xf numFmtId="184" fontId="12" fillId="0" borderId="22" xfId="4" applyNumberFormat="1" applyFont="1" applyBorder="1" applyAlignment="1" applyProtection="1">
      <alignment vertical="center" wrapText="1"/>
      <protection locked="0"/>
    </xf>
    <xf numFmtId="184" fontId="12" fillId="0" borderId="1" xfId="4" applyNumberFormat="1" applyFont="1" applyBorder="1" applyAlignment="1" applyProtection="1">
      <alignment vertical="center" wrapText="1"/>
      <protection locked="0"/>
    </xf>
    <xf numFmtId="184" fontId="12" fillId="0" borderId="28" xfId="4" applyNumberFormat="1" applyFont="1" applyBorder="1" applyAlignment="1" applyProtection="1">
      <alignment vertical="center" wrapText="1"/>
      <protection locked="0"/>
    </xf>
    <xf numFmtId="184" fontId="12" fillId="0" borderId="1" xfId="4" applyNumberFormat="1" applyFont="1" applyBorder="1" applyAlignment="1">
      <alignment horizontal="center" vertical="center"/>
    </xf>
    <xf numFmtId="0" fontId="22" fillId="7" borderId="0" xfId="4" applyFont="1" applyFill="1" applyAlignment="1">
      <alignment horizontal="center" vertical="center" wrapText="1"/>
    </xf>
    <xf numFmtId="9" fontId="12" fillId="3" borderId="22" xfId="5" applyNumberFormat="1" applyFont="1" applyFill="1" applyBorder="1" applyAlignment="1">
      <alignment horizontal="center" vertical="center"/>
    </xf>
    <xf numFmtId="9" fontId="12" fillId="3" borderId="1" xfId="5" applyNumberFormat="1" applyFont="1" applyFill="1" applyBorder="1" applyAlignment="1">
      <alignment horizontal="center" vertical="center"/>
    </xf>
    <xf numFmtId="9" fontId="12" fillId="3" borderId="28" xfId="5" applyNumberFormat="1" applyFont="1" applyFill="1" applyBorder="1" applyAlignment="1">
      <alignment horizontal="center" vertical="center"/>
    </xf>
    <xf numFmtId="0" fontId="13" fillId="6" borderId="4" xfId="0" applyFont="1" applyFill="1" applyBorder="1" applyAlignment="1" applyProtection="1">
      <alignment horizontal="center" vertical="center" wrapText="1"/>
      <protection locked="0"/>
    </xf>
    <xf numFmtId="0" fontId="13" fillId="6" borderId="3" xfId="0" applyFont="1" applyFill="1" applyBorder="1" applyAlignment="1" applyProtection="1">
      <alignment horizontal="center" vertical="center" wrapText="1"/>
      <protection locked="0"/>
    </xf>
    <xf numFmtId="0" fontId="13" fillId="6" borderId="33" xfId="0" applyFont="1" applyFill="1" applyBorder="1" applyAlignment="1" applyProtection="1">
      <alignment horizontal="center" vertical="center" wrapText="1"/>
      <protection locked="0"/>
    </xf>
    <xf numFmtId="0" fontId="12" fillId="5" borderId="22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12" fillId="4" borderId="21" xfId="0" applyFont="1" applyFill="1" applyBorder="1" applyAlignment="1">
      <alignment horizontal="center" vertical="center" wrapText="1"/>
    </xf>
    <xf numFmtId="0" fontId="12" fillId="4" borderId="31" xfId="0" applyFont="1" applyFill="1" applyBorder="1" applyAlignment="1">
      <alignment horizontal="center" vertical="center" wrapText="1"/>
    </xf>
    <xf numFmtId="0" fontId="12" fillId="4" borderId="32" xfId="0" applyFont="1" applyFill="1" applyBorder="1" applyAlignment="1">
      <alignment horizontal="center" vertical="center" wrapText="1"/>
    </xf>
    <xf numFmtId="0" fontId="12" fillId="5" borderId="29" xfId="0" applyFont="1" applyFill="1" applyBorder="1" applyAlignment="1">
      <alignment horizontal="center" vertical="center"/>
    </xf>
    <xf numFmtId="0" fontId="12" fillId="5" borderId="30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 wrapText="1"/>
    </xf>
    <xf numFmtId="0" fontId="12" fillId="2" borderId="31" xfId="0" applyFont="1" applyFill="1" applyBorder="1" applyAlignment="1">
      <alignment horizontal="center" vertical="center" wrapText="1"/>
    </xf>
    <xf numFmtId="0" fontId="12" fillId="2" borderId="32" xfId="0" applyFont="1" applyFill="1" applyBorder="1" applyAlignment="1">
      <alignment horizontal="center" vertical="center" wrapText="1"/>
    </xf>
    <xf numFmtId="184" fontId="12" fillId="3" borderId="22" xfId="4" applyNumberFormat="1" applyFont="1" applyFill="1" applyBorder="1" applyAlignment="1">
      <alignment horizontal="center" vertical="center"/>
    </xf>
    <xf numFmtId="184" fontId="12" fillId="3" borderId="1" xfId="4" applyNumberFormat="1" applyFont="1" applyFill="1" applyBorder="1" applyAlignment="1">
      <alignment horizontal="center" vertical="center"/>
    </xf>
    <xf numFmtId="184" fontId="12" fillId="3" borderId="28" xfId="4" applyNumberFormat="1" applyFont="1" applyFill="1" applyBorder="1" applyAlignment="1">
      <alignment horizontal="center" vertical="center"/>
    </xf>
    <xf numFmtId="184" fontId="12" fillId="3" borderId="29" xfId="4" applyNumberFormat="1" applyFont="1" applyFill="1" applyBorder="1" applyAlignment="1">
      <alignment horizontal="center" vertical="center"/>
    </xf>
    <xf numFmtId="184" fontId="12" fillId="3" borderId="2" xfId="4" applyNumberFormat="1" applyFont="1" applyFill="1" applyBorder="1" applyAlignment="1">
      <alignment horizontal="center" vertical="center"/>
    </xf>
    <xf numFmtId="184" fontId="12" fillId="3" borderId="30" xfId="4" applyNumberFormat="1" applyFont="1" applyFill="1" applyBorder="1" applyAlignment="1">
      <alignment horizontal="center" vertical="center"/>
    </xf>
    <xf numFmtId="184" fontId="12" fillId="3" borderId="21" xfId="4" applyNumberFormat="1" applyFont="1" applyFill="1" applyBorder="1" applyAlignment="1">
      <alignment horizontal="center" vertical="center"/>
    </xf>
    <xf numFmtId="184" fontId="12" fillId="3" borderId="31" xfId="4" applyNumberFormat="1" applyFont="1" applyFill="1" applyBorder="1" applyAlignment="1">
      <alignment horizontal="center" vertical="center"/>
    </xf>
    <xf numFmtId="184" fontId="12" fillId="3" borderId="32" xfId="4" applyNumberFormat="1" applyFont="1" applyFill="1" applyBorder="1" applyAlignment="1">
      <alignment horizontal="center" vertical="center"/>
    </xf>
    <xf numFmtId="0" fontId="12" fillId="3" borderId="22" xfId="4" applyFont="1" applyFill="1" applyBorder="1" applyAlignment="1">
      <alignment horizontal="center" vertical="center"/>
    </xf>
    <xf numFmtId="0" fontId="12" fillId="3" borderId="1" xfId="4" applyFont="1" applyFill="1" applyBorder="1" applyAlignment="1">
      <alignment horizontal="center" vertical="center"/>
    </xf>
    <xf numFmtId="0" fontId="12" fillId="3" borderId="28" xfId="4" applyFont="1" applyFill="1" applyBorder="1" applyAlignment="1">
      <alignment horizontal="center" vertical="center"/>
    </xf>
    <xf numFmtId="0" fontId="12" fillId="5" borderId="21" xfId="0" applyFont="1" applyFill="1" applyBorder="1" applyAlignment="1">
      <alignment horizontal="center" vertical="center"/>
    </xf>
    <xf numFmtId="0" fontId="12" fillId="5" borderId="32" xfId="0" applyFont="1" applyFill="1" applyBorder="1" applyAlignment="1">
      <alignment horizontal="center" vertical="center"/>
    </xf>
    <xf numFmtId="0" fontId="12" fillId="5" borderId="31" xfId="0" applyFont="1" applyFill="1" applyBorder="1" applyAlignment="1">
      <alignment horizontal="center" vertical="center"/>
    </xf>
    <xf numFmtId="0" fontId="12" fillId="4" borderId="29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2" fillId="4" borderId="30" xfId="0" applyFont="1" applyFill="1" applyBorder="1" applyAlignment="1">
      <alignment horizontal="center" vertical="center" wrapText="1"/>
    </xf>
    <xf numFmtId="0" fontId="12" fillId="5" borderId="22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/>
    </xf>
    <xf numFmtId="0" fontId="12" fillId="5" borderId="28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0" xfId="0" applyFont="1" applyFill="1" applyBorder="1" applyAlignment="1">
      <alignment horizontal="center" vertical="center" wrapText="1"/>
    </xf>
    <xf numFmtId="49" fontId="11" fillId="0" borderId="22" xfId="7" applyNumberFormat="1" applyFont="1" applyFill="1" applyBorder="1" applyAlignment="1">
      <alignment horizontal="left" wrapText="1"/>
    </xf>
    <xf numFmtId="49" fontId="11" fillId="0" borderId="1" xfId="7" applyNumberFormat="1" applyFont="1" applyFill="1" applyBorder="1" applyAlignment="1">
      <alignment horizontal="left" wrapText="1"/>
    </xf>
    <xf numFmtId="49" fontId="11" fillId="0" borderId="22" xfId="0" applyNumberFormat="1" applyFont="1" applyFill="1" applyBorder="1" applyAlignment="1">
      <alignment horizontal="left" vertical="top" wrapText="1"/>
    </xf>
    <xf numFmtId="49" fontId="11" fillId="0" borderId="1" xfId="0" applyNumberFormat="1" applyFont="1" applyFill="1" applyBorder="1" applyAlignment="1">
      <alignment horizontal="left" vertical="top" wrapText="1"/>
    </xf>
    <xf numFmtId="49" fontId="11" fillId="2" borderId="20" xfId="8" applyNumberFormat="1" applyFont="1" applyFill="1" applyBorder="1" applyAlignment="1">
      <alignment horizontal="center" vertical="center"/>
    </xf>
    <xf numFmtId="49" fontId="11" fillId="2" borderId="39" xfId="8" applyNumberFormat="1" applyFont="1" applyFill="1" applyBorder="1" applyAlignment="1">
      <alignment horizontal="center" vertical="center"/>
    </xf>
    <xf numFmtId="49" fontId="11" fillId="2" borderId="40" xfId="8" applyNumberFormat="1" applyFont="1" applyFill="1" applyBorder="1" applyAlignment="1">
      <alignment horizontal="center" vertical="center"/>
    </xf>
    <xf numFmtId="49" fontId="20" fillId="0" borderId="45" xfId="8" applyNumberFormat="1" applyFont="1" applyFill="1" applyBorder="1" applyAlignment="1">
      <alignment horizontal="center" vertical="center" wrapText="1"/>
    </xf>
    <xf numFmtId="49" fontId="20" fillId="0" borderId="46" xfId="8" applyNumberFormat="1" applyFont="1" applyFill="1" applyBorder="1" applyAlignment="1">
      <alignment horizontal="center" vertical="center" wrapText="1"/>
    </xf>
    <xf numFmtId="49" fontId="11" fillId="0" borderId="11" xfId="8" applyNumberFormat="1" applyFont="1" applyFill="1" applyBorder="1" applyAlignment="1">
      <alignment horizontal="center" vertical="center" wrapText="1"/>
    </xf>
    <xf numFmtId="0" fontId="11" fillId="0" borderId="22" xfId="8" applyNumberFormat="1" applyFont="1" applyFill="1" applyBorder="1" applyAlignment="1">
      <alignment horizontal="right" vertical="center" wrapText="1"/>
    </xf>
    <xf numFmtId="0" fontId="11" fillId="0" borderId="47" xfId="8" applyNumberFormat="1" applyFont="1" applyFill="1" applyBorder="1" applyAlignment="1">
      <alignment horizontal="right" vertical="center" wrapText="1"/>
    </xf>
    <xf numFmtId="49" fontId="11" fillId="0" borderId="41" xfId="8" applyNumberFormat="1" applyFont="1" applyFill="1" applyBorder="1" applyAlignment="1">
      <alignment horizontal="center" vertical="center" wrapText="1"/>
    </xf>
    <xf numFmtId="49" fontId="11" fillId="0" borderId="42" xfId="8" applyNumberFormat="1" applyFont="1" applyFill="1" applyBorder="1" applyAlignment="1">
      <alignment horizontal="center" vertical="center" wrapText="1"/>
    </xf>
    <xf numFmtId="49" fontId="11" fillId="0" borderId="44" xfId="8" applyNumberFormat="1" applyFont="1" applyFill="1" applyBorder="1" applyAlignment="1">
      <alignment horizontal="center" vertical="center" wrapText="1"/>
    </xf>
    <xf numFmtId="49" fontId="11" fillId="0" borderId="43" xfId="8" applyNumberFormat="1" applyFont="1" applyFill="1" applyBorder="1" applyAlignment="1">
      <alignment horizontal="center" vertical="center" wrapText="1"/>
    </xf>
    <xf numFmtId="49" fontId="11" fillId="0" borderId="38" xfId="0" applyNumberFormat="1" applyFont="1" applyFill="1" applyBorder="1" applyAlignment="1">
      <alignment horizontal="center" vertical="top" wrapText="1"/>
    </xf>
    <xf numFmtId="49" fontId="11" fillId="0" borderId="41" xfId="8" applyNumberFormat="1" applyFont="1" applyFill="1" applyBorder="1" applyAlignment="1">
      <alignment horizontal="center" vertical="center"/>
    </xf>
    <xf numFmtId="49" fontId="11" fillId="0" borderId="42" xfId="8" applyNumberFormat="1" applyFont="1" applyFill="1" applyBorder="1" applyAlignment="1">
      <alignment horizontal="center" vertical="center"/>
    </xf>
    <xf numFmtId="49" fontId="11" fillId="0" borderId="44" xfId="8" applyNumberFormat="1" applyFont="1" applyFill="1" applyBorder="1" applyAlignment="1">
      <alignment horizontal="center" vertical="center"/>
    </xf>
    <xf numFmtId="49" fontId="11" fillId="2" borderId="41" xfId="8" applyNumberFormat="1" applyFont="1" applyFill="1" applyBorder="1" applyAlignment="1">
      <alignment horizontal="center" vertical="center"/>
    </xf>
    <xf numFmtId="49" fontId="11" fillId="2" borderId="42" xfId="8" applyNumberFormat="1" applyFont="1" applyFill="1" applyBorder="1" applyAlignment="1">
      <alignment horizontal="center" vertical="center"/>
    </xf>
    <xf numFmtId="49" fontId="5" fillId="0" borderId="22" xfId="0" applyNumberFormat="1" applyFont="1" applyFill="1" applyBorder="1" applyAlignment="1">
      <alignment horizontal="left" vertical="top" wrapText="1"/>
    </xf>
    <xf numFmtId="49" fontId="11" fillId="0" borderId="20" xfId="8" applyNumberFormat="1" applyFont="1" applyFill="1" applyBorder="1" applyAlignment="1">
      <alignment horizontal="center" vertical="center"/>
    </xf>
    <xf numFmtId="49" fontId="11" fillId="0" borderId="39" xfId="8" applyNumberFormat="1" applyFont="1" applyFill="1" applyBorder="1" applyAlignment="1">
      <alignment horizontal="center" vertical="center"/>
    </xf>
    <xf numFmtId="49" fontId="11" fillId="0" borderId="40" xfId="8" applyNumberFormat="1" applyFont="1" applyFill="1" applyBorder="1" applyAlignment="1">
      <alignment horizontal="center" vertical="center"/>
    </xf>
    <xf numFmtId="49" fontId="11" fillId="2" borderId="8" xfId="8" applyNumberFormat="1" applyFont="1" applyFill="1" applyBorder="1" applyAlignment="1">
      <alignment horizontal="center" vertical="center"/>
    </xf>
    <xf numFmtId="186" fontId="11" fillId="0" borderId="8" xfId="8" applyNumberFormat="1" applyFont="1" applyFill="1" applyBorder="1" applyAlignment="1">
      <alignment horizontal="center" vertical="center"/>
    </xf>
    <xf numFmtId="186" fontId="11" fillId="0" borderId="9" xfId="8" applyNumberFormat="1" applyFont="1" applyFill="1" applyBorder="1" applyAlignment="1">
      <alignment horizontal="center" vertical="center"/>
    </xf>
    <xf numFmtId="49" fontId="17" fillId="0" borderId="34" xfId="8" applyNumberFormat="1" applyFont="1" applyFill="1" applyBorder="1" applyAlignment="1">
      <alignment horizontal="center" vertical="center" wrapText="1"/>
    </xf>
    <xf numFmtId="49" fontId="17" fillId="0" borderId="35" xfId="8" applyNumberFormat="1" applyFont="1" applyFill="1" applyBorder="1" applyAlignment="1">
      <alignment horizontal="center" vertical="center" wrapText="1"/>
    </xf>
    <xf numFmtId="49" fontId="11" fillId="0" borderId="20" xfId="8" applyNumberFormat="1" applyFont="1" applyFill="1" applyBorder="1" applyAlignment="1">
      <alignment vertical="center" wrapText="1"/>
    </xf>
    <xf numFmtId="49" fontId="11" fillId="0" borderId="39" xfId="8" applyNumberFormat="1" applyFont="1" applyFill="1" applyBorder="1" applyAlignment="1">
      <alignment vertical="center" wrapText="1"/>
    </xf>
    <xf numFmtId="49" fontId="11" fillId="0" borderId="40" xfId="8" applyNumberFormat="1" applyFont="1" applyFill="1" applyBorder="1" applyAlignment="1">
      <alignment vertical="center" wrapText="1"/>
    </xf>
    <xf numFmtId="49" fontId="11" fillId="0" borderId="22" xfId="8" applyNumberFormat="1" applyFont="1" applyFill="1" applyBorder="1" applyAlignment="1">
      <alignment vertical="center" wrapText="1"/>
    </xf>
    <xf numFmtId="49" fontId="11" fillId="0" borderId="1" xfId="8" applyNumberFormat="1" applyFont="1" applyFill="1" applyBorder="1" applyAlignment="1">
      <alignment vertical="center" wrapText="1"/>
    </xf>
    <xf numFmtId="49" fontId="11" fillId="0" borderId="28" xfId="8" applyNumberFormat="1" applyFont="1" applyFill="1" applyBorder="1" applyAlignment="1">
      <alignment vertical="center" wrapText="1"/>
    </xf>
    <xf numFmtId="49" fontId="11" fillId="0" borderId="43" xfId="8" applyNumberFormat="1" applyFont="1" applyFill="1" applyBorder="1" applyAlignment="1">
      <alignment horizontal="center" vertical="center"/>
    </xf>
    <xf numFmtId="49" fontId="18" fillId="0" borderId="34" xfId="8" applyNumberFormat="1" applyFont="1" applyFill="1" applyBorder="1" applyAlignment="1">
      <alignment horizontal="center" vertical="center" wrapText="1"/>
    </xf>
    <xf numFmtId="49" fontId="18" fillId="0" borderId="35" xfId="8" applyNumberFormat="1" applyFont="1" applyFill="1" applyBorder="1" applyAlignment="1">
      <alignment horizontal="center" vertical="center" wrapText="1"/>
    </xf>
    <xf numFmtId="49" fontId="11" fillId="0" borderId="23" xfId="0" applyNumberFormat="1" applyFont="1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49" fontId="5" fillId="0" borderId="29" xfId="0" applyNumberFormat="1" applyFont="1" applyFill="1" applyBorder="1" applyAlignment="1">
      <alignment horizontal="left" vertical="top" wrapText="1"/>
    </xf>
    <xf numFmtId="49" fontId="19" fillId="0" borderId="34" xfId="8" applyNumberFormat="1" applyFont="1" applyFill="1" applyBorder="1" applyAlignment="1">
      <alignment horizontal="center" vertical="center" wrapText="1"/>
    </xf>
    <xf numFmtId="49" fontId="19" fillId="0" borderId="35" xfId="8" applyNumberFormat="1" applyFont="1" applyFill="1" applyBorder="1" applyAlignment="1">
      <alignment horizontal="center" vertical="center" wrapText="1"/>
    </xf>
    <xf numFmtId="49" fontId="19" fillId="0" borderId="36" xfId="8" applyNumberFormat="1" applyFont="1" applyFill="1" applyBorder="1" applyAlignment="1">
      <alignment horizontal="center" vertical="center" wrapText="1"/>
    </xf>
    <xf numFmtId="49" fontId="11" fillId="0" borderId="37" xfId="0" applyNumberFormat="1" applyFont="1" applyFill="1" applyBorder="1" applyAlignment="1">
      <alignment horizontal="left" vertical="top" wrapText="1"/>
    </xf>
    <xf numFmtId="49" fontId="11" fillId="0" borderId="38" xfId="8" applyNumberFormat="1" applyFont="1" applyFill="1" applyBorder="1" applyAlignment="1">
      <alignment horizontal="center" vertical="center" wrapText="1"/>
    </xf>
    <xf numFmtId="49" fontId="11" fillId="0" borderId="29" xfId="7" applyNumberFormat="1" applyFont="1" applyFill="1" applyBorder="1" applyAlignment="1">
      <alignment horizontal="left" wrapText="1"/>
    </xf>
    <xf numFmtId="49" fontId="11" fillId="0" borderId="2" xfId="7" applyNumberFormat="1" applyFont="1" applyFill="1" applyBorder="1" applyAlignment="1">
      <alignment horizontal="left" wrapText="1"/>
    </xf>
    <xf numFmtId="49" fontId="11" fillId="0" borderId="1" xfId="3" applyNumberFormat="1" applyFont="1" applyFill="1" applyBorder="1" applyAlignment="1">
      <alignment horizontal="left" vertical="top" wrapText="1"/>
    </xf>
    <xf numFmtId="49" fontId="11" fillId="0" borderId="47" xfId="3" applyNumberFormat="1" applyFont="1" applyFill="1" applyBorder="1" applyAlignment="1">
      <alignment horizontal="left" vertical="top" wrapText="1"/>
    </xf>
    <xf numFmtId="49" fontId="11" fillId="0" borderId="28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47" xfId="7" applyNumberFormat="1" applyFont="1" applyFill="1" applyBorder="1" applyAlignment="1">
      <alignment horizontal="left" wrapText="1"/>
    </xf>
    <xf numFmtId="49" fontId="11" fillId="0" borderId="11" xfId="7" applyNumberFormat="1" applyFont="1" applyFill="1" applyBorder="1" applyAlignment="1">
      <alignment horizontal="left" wrapText="1"/>
    </xf>
    <xf numFmtId="49" fontId="11" fillId="0" borderId="28" xfId="7" applyNumberFormat="1" applyFont="1" applyFill="1" applyBorder="1" applyAlignment="1">
      <alignment horizontal="left" wrapText="1"/>
    </xf>
    <xf numFmtId="49" fontId="11" fillId="0" borderId="18" xfId="7" applyNumberFormat="1" applyFont="1" applyFill="1" applyBorder="1" applyAlignment="1">
      <alignment horizontal="left" wrapText="1"/>
    </xf>
    <xf numFmtId="49" fontId="25" fillId="0" borderId="11" xfId="7" applyNumberFormat="1" applyFont="1" applyFill="1" applyBorder="1" applyAlignment="1">
      <alignment horizontal="left" wrapText="1"/>
    </xf>
    <xf numFmtId="49" fontId="25" fillId="0" borderId="22" xfId="7" applyNumberFormat="1" applyFont="1" applyFill="1" applyBorder="1" applyAlignment="1">
      <alignment horizontal="left" wrapText="1"/>
    </xf>
    <xf numFmtId="49" fontId="25" fillId="0" borderId="1" xfId="7" applyNumberFormat="1" applyFont="1" applyFill="1" applyBorder="1" applyAlignment="1">
      <alignment horizontal="left" wrapText="1"/>
    </xf>
    <xf numFmtId="49" fontId="25" fillId="0" borderId="28" xfId="7" applyNumberFormat="1" applyFont="1" applyFill="1" applyBorder="1" applyAlignment="1">
      <alignment horizontal="left" wrapText="1"/>
    </xf>
    <xf numFmtId="49" fontId="25" fillId="0" borderId="55" xfId="7" applyNumberFormat="1" applyFont="1" applyFill="1" applyBorder="1" applyAlignment="1">
      <alignment horizontal="left" wrapText="1"/>
    </xf>
    <xf numFmtId="49" fontId="25" fillId="0" borderId="54" xfId="7" applyNumberFormat="1" applyFont="1" applyFill="1" applyBorder="1" applyAlignment="1">
      <alignment horizontal="left" wrapText="1"/>
    </xf>
    <xf numFmtId="49" fontId="25" fillId="0" borderId="22" xfId="3" applyNumberFormat="1" applyFont="1" applyFill="1" applyBorder="1" applyAlignment="1">
      <alignment horizontal="left" vertical="top" wrapText="1"/>
    </xf>
    <xf numFmtId="49" fontId="25" fillId="0" borderId="1" xfId="3" applyNumberFormat="1" applyFont="1" applyFill="1" applyBorder="1" applyAlignment="1">
      <alignment horizontal="left" vertical="top" wrapText="1"/>
    </xf>
    <xf numFmtId="49" fontId="25" fillId="0" borderId="28" xfId="3" applyNumberFormat="1" applyFont="1" applyFill="1" applyBorder="1" applyAlignment="1">
      <alignment horizontal="left" vertical="top" wrapText="1"/>
    </xf>
    <xf numFmtId="49" fontId="25" fillId="0" borderId="11" xfId="3" applyNumberFormat="1" applyFont="1" applyFill="1" applyBorder="1" applyAlignment="1">
      <alignment horizontal="left" vertical="top" wrapText="1"/>
    </xf>
    <xf numFmtId="49" fontId="25" fillId="0" borderId="54" xfId="3" applyNumberFormat="1" applyFont="1" applyFill="1" applyBorder="1" applyAlignment="1">
      <alignment horizontal="left" vertical="top" wrapText="1"/>
    </xf>
    <xf numFmtId="0" fontId="25" fillId="0" borderId="11" xfId="7" applyFont="1" applyBorder="1" applyAlignment="1">
      <alignment horizontal="left" vertical="center"/>
    </xf>
    <xf numFmtId="49" fontId="25" fillId="0" borderId="11" xfId="2" applyNumberFormat="1" applyFont="1" applyFill="1" applyBorder="1" applyAlignment="1">
      <alignment horizontal="left" vertical="top" wrapText="1"/>
    </xf>
    <xf numFmtId="49" fontId="25" fillId="0" borderId="11" xfId="2" applyNumberFormat="1" applyFont="1" applyFill="1" applyBorder="1" applyAlignment="1">
      <alignment horizontal="left" vertical="center" wrapText="1"/>
    </xf>
    <xf numFmtId="49" fontId="25" fillId="0" borderId="22" xfId="2" applyNumberFormat="1" applyFont="1" applyFill="1" applyBorder="1" applyAlignment="1">
      <alignment horizontal="left" vertical="center" wrapText="1"/>
    </xf>
    <xf numFmtId="49" fontId="25" fillId="0" borderId="1" xfId="2" applyNumberFormat="1" applyFont="1" applyFill="1" applyBorder="1" applyAlignment="1">
      <alignment horizontal="left" vertical="center" wrapText="1"/>
    </xf>
    <xf numFmtId="49" fontId="25" fillId="0" borderId="28" xfId="2" applyNumberFormat="1" applyFont="1" applyFill="1" applyBorder="1" applyAlignment="1">
      <alignment horizontal="left" vertical="center" wrapText="1"/>
    </xf>
    <xf numFmtId="49" fontId="3" fillId="0" borderId="11" xfId="1" applyNumberFormat="1" applyFill="1" applyBorder="1" applyAlignment="1" applyProtection="1">
      <alignment horizontal="left" vertical="center" wrapText="1"/>
    </xf>
    <xf numFmtId="49" fontId="25" fillId="0" borderId="11" xfId="3" applyNumberFormat="1" applyFont="1" applyFill="1" applyBorder="1" applyAlignment="1">
      <alignment horizontal="left" vertical="center" wrapText="1"/>
    </xf>
    <xf numFmtId="49" fontId="25" fillId="0" borderId="48" xfId="2" applyNumberFormat="1" applyFont="1" applyFill="1" applyBorder="1" applyAlignment="1">
      <alignment horizontal="left" vertical="top" wrapText="1"/>
    </xf>
    <xf numFmtId="49" fontId="25" fillId="0" borderId="23" xfId="2" applyNumberFormat="1" applyFont="1" applyFill="1" applyBorder="1" applyAlignment="1">
      <alignment horizontal="left" vertical="top" wrapText="1"/>
    </xf>
    <xf numFmtId="49" fontId="25" fillId="0" borderId="49" xfId="2" applyNumberFormat="1" applyFont="1" applyFill="1" applyBorder="1" applyAlignment="1">
      <alignment horizontal="left" vertical="top" wrapText="1"/>
    </xf>
    <xf numFmtId="49" fontId="25" fillId="0" borderId="50" xfId="2" applyNumberFormat="1" applyFont="1" applyFill="1" applyBorder="1" applyAlignment="1">
      <alignment horizontal="left" vertical="top" wrapText="1"/>
    </xf>
    <xf numFmtId="49" fontId="25" fillId="0" borderId="58" xfId="2" applyNumberFormat="1" applyFont="1" applyFill="1" applyBorder="1" applyAlignment="1">
      <alignment horizontal="left" vertical="top" wrapText="1"/>
    </xf>
    <xf numFmtId="49" fontId="11" fillId="0" borderId="47" xfId="0" applyNumberFormat="1" applyFont="1" applyFill="1" applyBorder="1" applyAlignment="1">
      <alignment horizontal="left" vertical="top" wrapText="1"/>
    </xf>
    <xf numFmtId="49" fontId="25" fillId="0" borderId="56" xfId="7" applyNumberFormat="1" applyFont="1" applyFill="1" applyBorder="1" applyAlignment="1">
      <alignment horizontal="left" vertical="center" wrapText="1"/>
    </xf>
    <xf numFmtId="49" fontId="25" fillId="0" borderId="57" xfId="7" applyNumberFormat="1" applyFont="1" applyFill="1" applyBorder="1" applyAlignment="1">
      <alignment horizontal="left" vertical="center" wrapText="1"/>
    </xf>
    <xf numFmtId="49" fontId="25" fillId="0" borderId="56" xfId="3" applyNumberFormat="1" applyFont="1" applyFill="1" applyBorder="1" applyAlignment="1">
      <alignment horizontal="left" vertical="top" wrapText="1"/>
    </xf>
    <xf numFmtId="49" fontId="25" fillId="0" borderId="57" xfId="3" applyNumberFormat="1" applyFont="1" applyFill="1" applyBorder="1" applyAlignment="1">
      <alignment horizontal="left" vertical="top" wrapText="1"/>
    </xf>
    <xf numFmtId="49" fontId="25" fillId="0" borderId="22" xfId="0" applyNumberFormat="1" applyFont="1" applyFill="1" applyBorder="1" applyAlignment="1">
      <alignment horizontal="left" vertical="top" wrapText="1"/>
    </xf>
    <xf numFmtId="49" fontId="25" fillId="0" borderId="1" xfId="0" applyNumberFormat="1" applyFont="1" applyFill="1" applyBorder="1" applyAlignment="1">
      <alignment horizontal="left" vertical="top" wrapText="1"/>
    </xf>
    <xf numFmtId="49" fontId="24" fillId="0" borderId="29" xfId="0" applyNumberFormat="1" applyFont="1" applyFill="1" applyBorder="1" applyAlignment="1">
      <alignment horizontal="left" vertical="top" wrapText="1"/>
    </xf>
    <xf numFmtId="49" fontId="25" fillId="0" borderId="29" xfId="7" applyNumberFormat="1" applyFont="1" applyFill="1" applyBorder="1" applyAlignment="1">
      <alignment horizontal="left" wrapText="1"/>
    </xf>
    <xf numFmtId="49" fontId="25" fillId="0" borderId="2" xfId="7" applyNumberFormat="1" applyFont="1" applyFill="1" applyBorder="1" applyAlignment="1">
      <alignment horizontal="left" wrapText="1"/>
    </xf>
    <xf numFmtId="0" fontId="25" fillId="0" borderId="1" xfId="0" applyFont="1" applyBorder="1" applyAlignment="1">
      <alignment horizontal="left" vertical="top" wrapText="1"/>
    </xf>
  </cellXfs>
  <cellStyles count="9">
    <cellStyle name="Hyperlink" xfId="1" builtinId="8"/>
    <cellStyle name="Normal" xfId="0" builtinId="0"/>
    <cellStyle name="Normal 2" xfId="2"/>
    <cellStyle name="Normal_Program Check List1" xfId="3"/>
    <cellStyle name="Normal_単価テスト_財産管理" xfId="4"/>
    <cellStyle name="Percent" xfId="5" builtinId="5"/>
    <cellStyle name="標準_format(USI)" xfId="6"/>
    <cellStyle name="標準_Sheet1_コピー ～ 一括失効" xfId="7"/>
    <cellStyle name="標準_コピー ～ 一括失効" xfId="8"/>
  </cellStyles>
  <dxfs count="1375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31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56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6750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7771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8790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14</xdr:col>
      <xdr:colOff>666750</xdr:colOff>
      <xdr:row>37</xdr:row>
      <xdr:rowOff>85725</xdr:rowOff>
    </xdr:to>
    <xdr:pic>
      <xdr:nvPicPr>
        <xdr:cNvPr id="1157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685800"/>
          <a:ext cx="9582150" cy="57435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14</xdr:col>
      <xdr:colOff>523875</xdr:colOff>
      <xdr:row>80</xdr:row>
      <xdr:rowOff>114300</xdr:rowOff>
    </xdr:to>
    <xdr:pic>
      <xdr:nvPicPr>
        <xdr:cNvPr id="11575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" y="7200900"/>
          <a:ext cx="9439275" cy="66294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16</xdr:col>
      <xdr:colOff>609600</xdr:colOff>
      <xdr:row>127</xdr:row>
      <xdr:rowOff>114300</xdr:rowOff>
    </xdr:to>
    <xdr:pic>
      <xdr:nvPicPr>
        <xdr:cNvPr id="11575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5800" y="14573250"/>
          <a:ext cx="1089660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130</xdr:row>
      <xdr:rowOff>0</xdr:rowOff>
    </xdr:from>
    <xdr:to>
      <xdr:col>17</xdr:col>
      <xdr:colOff>57150</xdr:colOff>
      <xdr:row>170</xdr:row>
      <xdr:rowOff>76200</xdr:rowOff>
    </xdr:to>
    <xdr:pic>
      <xdr:nvPicPr>
        <xdr:cNvPr id="115756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22288500"/>
          <a:ext cx="11029950" cy="6934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174</xdr:row>
      <xdr:rowOff>0</xdr:rowOff>
    </xdr:from>
    <xdr:to>
      <xdr:col>16</xdr:col>
      <xdr:colOff>638175</xdr:colOff>
      <xdr:row>216</xdr:row>
      <xdr:rowOff>114300</xdr:rowOff>
    </xdr:to>
    <xdr:pic>
      <xdr:nvPicPr>
        <xdr:cNvPr id="115757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85800" y="29832300"/>
          <a:ext cx="1092517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219</xdr:row>
      <xdr:rowOff>0</xdr:rowOff>
    </xdr:from>
    <xdr:to>
      <xdr:col>17</xdr:col>
      <xdr:colOff>133350</xdr:colOff>
      <xdr:row>256</xdr:row>
      <xdr:rowOff>104775</xdr:rowOff>
    </xdr:to>
    <xdr:pic>
      <xdr:nvPicPr>
        <xdr:cNvPr id="115758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685800" y="37547550"/>
          <a:ext cx="11106150" cy="6448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DI@12345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3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B13" sqref="B13:C13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15"/>
      <c r="C3" s="116"/>
      <c r="D3" s="117"/>
      <c r="E3" s="118"/>
      <c r="F3" s="118"/>
      <c r="G3" s="118"/>
      <c r="H3" s="118"/>
      <c r="I3" s="118"/>
      <c r="J3" s="119"/>
      <c r="K3" s="109">
        <f ca="1">IF($D3="",0,MAX(INDIRECT("'"&amp;$D3&amp;"'!$H3:$AZ3")))</f>
        <v>0</v>
      </c>
      <c r="L3" s="110"/>
      <c r="M3" s="110"/>
      <c r="N3" s="111"/>
      <c r="O3" s="115" t="str">
        <f ca="1">IF($D3="","",COUNTIF(INDIRECT("'"&amp;$D3&amp;"'!$H"&amp;ROW(INDIRECT("'"&amp;$D3&amp;"'!TestResult"))&amp;":$AZ"&amp;ROW(INDIRECT("'"&amp;$D3&amp;"'!TestResult"))),O$9))</f>
        <v/>
      </c>
      <c r="P3" s="120"/>
      <c r="Q3" s="116"/>
      <c r="R3" s="115" t="str">
        <f ca="1">IF($D3="","",COUNTIF(INDIRECT("'"&amp;$D3&amp;"'!$H"&amp;ROW(INDIRECT("'"&amp;$D3&amp;"'!TestResult"))&amp;":$AZ"&amp;ROW(INDIRECT("'"&amp;$D3&amp;"'!TestResult"))),R$9))</f>
        <v/>
      </c>
      <c r="S3" s="120"/>
      <c r="T3" s="116"/>
      <c r="U3" s="115" t="str">
        <f ca="1">IF($D3="","",COUNTIF(INDIRECT("'"&amp;$D3&amp;"'!$H"&amp;ROW(INDIRECT("'"&amp;$D3&amp;"'!TestResult"))&amp;":$AZ"&amp;ROW(INDIRECT("'"&amp;$D3&amp;"'!TestResult"))),U$9))</f>
        <v/>
      </c>
      <c r="V3" s="120"/>
      <c r="W3" s="116"/>
      <c r="X3" s="115" t="str">
        <f ca="1">IF($D3="","",COUNTIF(INDIRECT("'"&amp;$D3&amp;"'!$H"&amp;ROW(INDIRECT("'"&amp;$D3&amp;"'!TestResult"))&amp;":$AZ"&amp;ROW(INDIRECT("'"&amp;$D3&amp;"'!TestResult"))),X$9))</f>
        <v/>
      </c>
      <c r="Y3" s="120"/>
      <c r="Z3" s="116"/>
      <c r="AA3" s="109">
        <f ca="1">SUM(O3:Z3)</f>
        <v>0</v>
      </c>
      <c r="AB3" s="110"/>
      <c r="AC3" s="110"/>
      <c r="AD3" s="111"/>
      <c r="AE3" s="109">
        <f ca="1">K3-AA3</f>
        <v>0</v>
      </c>
      <c r="AF3" s="110"/>
      <c r="AG3" s="110"/>
      <c r="AH3" s="111"/>
      <c r="AI3" s="112" t="str">
        <f ca="1">IF($D3="","",SUM(INDIRECT("'"&amp;$D3&amp;"'!BugCount")))</f>
        <v/>
      </c>
      <c r="AJ3" s="113"/>
      <c r="AK3" s="113"/>
      <c r="AL3" s="114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25" t="s">
        <v>9</v>
      </c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126"/>
      <c r="AI6" s="126"/>
      <c r="AJ6" s="126"/>
      <c r="AK6" s="126"/>
      <c r="AL6" s="127"/>
    </row>
    <row r="8" spans="1:38" ht="13.5" customHeight="1">
      <c r="B8" s="134"/>
      <c r="C8" s="135"/>
      <c r="D8" s="134"/>
      <c r="E8" s="136"/>
      <c r="F8" s="136"/>
      <c r="G8" s="136"/>
      <c r="H8" s="136"/>
      <c r="I8" s="136"/>
      <c r="J8" s="135"/>
      <c r="K8" s="155" t="s">
        <v>2</v>
      </c>
      <c r="L8" s="156"/>
      <c r="M8" s="156"/>
      <c r="N8" s="157"/>
      <c r="O8" s="158" t="s">
        <v>1</v>
      </c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60"/>
      <c r="AA8" s="155" t="s">
        <v>34</v>
      </c>
      <c r="AB8" s="156"/>
      <c r="AC8" s="156"/>
      <c r="AD8" s="157"/>
      <c r="AE8" s="155" t="s">
        <v>34</v>
      </c>
      <c r="AF8" s="156"/>
      <c r="AG8" s="156"/>
      <c r="AH8" s="157"/>
      <c r="AI8" s="161"/>
      <c r="AJ8" s="162"/>
      <c r="AK8" s="162"/>
      <c r="AL8" s="163"/>
    </row>
    <row r="9" spans="1:38" s="4" customFormat="1">
      <c r="B9" s="152" t="s">
        <v>16</v>
      </c>
      <c r="C9" s="153"/>
      <c r="D9" s="152" t="s">
        <v>17</v>
      </c>
      <c r="E9" s="154"/>
      <c r="F9" s="154"/>
      <c r="G9" s="154"/>
      <c r="H9" s="154"/>
      <c r="I9" s="154"/>
      <c r="J9" s="153"/>
      <c r="K9" s="131" t="s">
        <v>32</v>
      </c>
      <c r="L9" s="132"/>
      <c r="M9" s="132"/>
      <c r="N9" s="133"/>
      <c r="O9" s="128" t="s">
        <v>18</v>
      </c>
      <c r="P9" s="129"/>
      <c r="Q9" s="130"/>
      <c r="R9" s="128" t="s">
        <v>19</v>
      </c>
      <c r="S9" s="129"/>
      <c r="T9" s="130"/>
      <c r="U9" s="128" t="s">
        <v>20</v>
      </c>
      <c r="V9" s="129"/>
      <c r="W9" s="130"/>
      <c r="X9" s="128" t="s">
        <v>21</v>
      </c>
      <c r="Y9" s="129"/>
      <c r="Z9" s="130"/>
      <c r="AA9" s="131" t="s">
        <v>33</v>
      </c>
      <c r="AB9" s="132"/>
      <c r="AC9" s="132"/>
      <c r="AD9" s="133"/>
      <c r="AE9" s="131" t="s">
        <v>35</v>
      </c>
      <c r="AF9" s="132"/>
      <c r="AG9" s="132"/>
      <c r="AH9" s="133"/>
      <c r="AI9" s="137" t="s">
        <v>36</v>
      </c>
      <c r="AJ9" s="138"/>
      <c r="AK9" s="138"/>
      <c r="AL9" s="139"/>
    </row>
    <row r="10" spans="1:38" s="4" customFormat="1">
      <c r="B10" s="115">
        <v>1</v>
      </c>
      <c r="C10" s="116"/>
      <c r="D10" s="117" t="s">
        <v>76</v>
      </c>
      <c r="E10" s="118"/>
      <c r="F10" s="118"/>
      <c r="G10" s="118"/>
      <c r="H10" s="118"/>
      <c r="I10" s="118"/>
      <c r="J10" s="119"/>
      <c r="K10" s="109">
        <f ca="1">IF($D10="",0,MAX(INDIRECT("'"&amp;$D10&amp;"'!$H3:$AZ3")))</f>
        <v>8</v>
      </c>
      <c r="L10" s="110"/>
      <c r="M10" s="110"/>
      <c r="N10" s="111"/>
      <c r="O10" s="115">
        <f ca="1">IF($D10="","",COUNTIF(INDIRECT("'"&amp;$D10&amp;"'!$H"&amp;ROW(INDIRECT("'"&amp;$D10&amp;"'!TestResult"))&amp;":$AZ"&amp;ROW(INDIRECT("'"&amp;$D10&amp;"'!TestResult"))),O$9))</f>
        <v>8</v>
      </c>
      <c r="P10" s="120"/>
      <c r="Q10" s="116"/>
      <c r="R10" s="115">
        <f ca="1">IF($D10="","",COUNTIF(INDIRECT("'"&amp;$D10&amp;"'!$H"&amp;ROW(INDIRECT("'"&amp;$D10&amp;"'!TestResult"))&amp;":$AZ"&amp;ROW(INDIRECT("'"&amp;$D10&amp;"'!TestResult"))),R$9))</f>
        <v>0</v>
      </c>
      <c r="S10" s="120"/>
      <c r="T10" s="116"/>
      <c r="U10" s="115">
        <f ca="1">IF($D10="","",COUNTIF(INDIRECT("'"&amp;$D10&amp;"'!$H"&amp;ROW(INDIRECT("'"&amp;$D10&amp;"'!TestResult"))&amp;":$AZ"&amp;ROW(INDIRECT("'"&amp;$D10&amp;"'!TestResult"))),U$9))</f>
        <v>0</v>
      </c>
      <c r="V10" s="120"/>
      <c r="W10" s="116"/>
      <c r="X10" s="115">
        <f ca="1">IF($D10="","",COUNTIF(INDIRECT("'"&amp;$D10&amp;"'!$H"&amp;ROW(INDIRECT("'"&amp;$D10&amp;"'!TestResult"))&amp;":$AZ"&amp;ROW(INDIRECT("'"&amp;$D10&amp;"'!TestResult"))),X$9))</f>
        <v>0</v>
      </c>
      <c r="Y10" s="120"/>
      <c r="Z10" s="116"/>
      <c r="AA10" s="109">
        <f ca="1">SUM(O10:Z10)</f>
        <v>8</v>
      </c>
      <c r="AB10" s="110"/>
      <c r="AC10" s="110"/>
      <c r="AD10" s="111"/>
      <c r="AE10" s="109">
        <f ca="1">K10-AA10</f>
        <v>0</v>
      </c>
      <c r="AF10" s="110"/>
      <c r="AG10" s="110"/>
      <c r="AH10" s="111"/>
      <c r="AI10" s="112">
        <f ca="1">IF($D10="","",SUM(INDIRECT("'"&amp;$D10&amp;"'!BugCount")))</f>
        <v>0</v>
      </c>
      <c r="AJ10" s="113"/>
      <c r="AK10" s="113"/>
      <c r="AL10" s="114"/>
    </row>
    <row r="11" spans="1:38" s="4" customFormat="1">
      <c r="B11" s="115">
        <v>2</v>
      </c>
      <c r="C11" s="116"/>
      <c r="D11" s="117" t="s">
        <v>106</v>
      </c>
      <c r="E11" s="118"/>
      <c r="F11" s="118"/>
      <c r="G11" s="118"/>
      <c r="H11" s="118"/>
      <c r="I11" s="118"/>
      <c r="J11" s="119"/>
      <c r="K11" s="109">
        <f ca="1">IF($D11="",0,MAX(INDIRECT("'"&amp;$D11&amp;"'!$H3:$AZ3")))</f>
        <v>8</v>
      </c>
      <c r="L11" s="110"/>
      <c r="M11" s="110"/>
      <c r="N11" s="111"/>
      <c r="O11" s="115">
        <f ca="1">IF($D11="","",COUNTIF(INDIRECT("'"&amp;$D11&amp;"'!$H"&amp;ROW(INDIRECT("'"&amp;$D11&amp;"'!TestResult"))&amp;":$AZ"&amp;ROW(INDIRECT("'"&amp;$D11&amp;"'!TestResult"))),O$9))</f>
        <v>8</v>
      </c>
      <c r="P11" s="120"/>
      <c r="Q11" s="116"/>
      <c r="R11" s="115">
        <f ca="1">IF($D11="","",COUNTIF(INDIRECT("'"&amp;$D11&amp;"'!$H"&amp;ROW(INDIRECT("'"&amp;$D11&amp;"'!TestResult"))&amp;":$AZ"&amp;ROW(INDIRECT("'"&amp;$D11&amp;"'!TestResult"))),R$9))</f>
        <v>0</v>
      </c>
      <c r="S11" s="120"/>
      <c r="T11" s="116"/>
      <c r="U11" s="115">
        <f ca="1">IF($D11="","",COUNTIF(INDIRECT("'"&amp;$D11&amp;"'!$H"&amp;ROW(INDIRECT("'"&amp;$D11&amp;"'!TestResult"))&amp;":$AZ"&amp;ROW(INDIRECT("'"&amp;$D11&amp;"'!TestResult"))),U$9))</f>
        <v>0</v>
      </c>
      <c r="V11" s="120"/>
      <c r="W11" s="116"/>
      <c r="X11" s="115">
        <f ca="1">IF($D11="","",COUNTIF(INDIRECT("'"&amp;$D11&amp;"'!$H"&amp;ROW(INDIRECT("'"&amp;$D11&amp;"'!TestResult"))&amp;":$AZ"&amp;ROW(INDIRECT("'"&amp;$D11&amp;"'!TestResult"))),X$9))</f>
        <v>0</v>
      </c>
      <c r="Y11" s="120"/>
      <c r="Z11" s="116"/>
      <c r="AA11" s="109">
        <f ca="1">SUM(O11:Z11)</f>
        <v>8</v>
      </c>
      <c r="AB11" s="110"/>
      <c r="AC11" s="110"/>
      <c r="AD11" s="111"/>
      <c r="AE11" s="109">
        <f ca="1">K11-AA11</f>
        <v>0</v>
      </c>
      <c r="AF11" s="110"/>
      <c r="AG11" s="110"/>
      <c r="AH11" s="111"/>
      <c r="AI11" s="112">
        <f ca="1">IF($D11="","",SUM(INDIRECT("'"&amp;$D11&amp;"'!BugCount")))</f>
        <v>0</v>
      </c>
      <c r="AJ11" s="113"/>
      <c r="AK11" s="113"/>
      <c r="AL11" s="114"/>
    </row>
    <row r="12" spans="1:38" s="4" customFormat="1">
      <c r="B12" s="115">
        <v>3</v>
      </c>
      <c r="C12" s="116"/>
      <c r="D12" s="117" t="s">
        <v>140</v>
      </c>
      <c r="E12" s="118"/>
      <c r="F12" s="118"/>
      <c r="G12" s="118"/>
      <c r="H12" s="118"/>
      <c r="I12" s="118"/>
      <c r="J12" s="119"/>
      <c r="K12" s="109">
        <f ca="1">IF($D12="",0,MAX(INDIRECT("'"&amp;$D12&amp;"'!$H3:$AZ3")))</f>
        <v>8</v>
      </c>
      <c r="L12" s="110"/>
      <c r="M12" s="110"/>
      <c r="N12" s="111"/>
      <c r="O12" s="115">
        <f ca="1">IF($D12="","",COUNTIF(INDIRECT("'"&amp;$D12&amp;"'!$H"&amp;ROW(INDIRECT("'"&amp;$D12&amp;"'!TestResult"))&amp;":$AZ"&amp;ROW(INDIRECT("'"&amp;$D12&amp;"'!TestResult"))),O$9))</f>
        <v>8</v>
      </c>
      <c r="P12" s="120"/>
      <c r="Q12" s="116"/>
      <c r="R12" s="115">
        <f ca="1">IF($D12="","",COUNTIF(INDIRECT("'"&amp;$D12&amp;"'!$H"&amp;ROW(INDIRECT("'"&amp;$D12&amp;"'!TestResult"))&amp;":$AZ"&amp;ROW(INDIRECT("'"&amp;$D12&amp;"'!TestResult"))),R$9))</f>
        <v>0</v>
      </c>
      <c r="S12" s="120"/>
      <c r="T12" s="116"/>
      <c r="U12" s="115">
        <f ca="1">IF($D12="","",COUNTIF(INDIRECT("'"&amp;$D12&amp;"'!$H"&amp;ROW(INDIRECT("'"&amp;$D12&amp;"'!TestResult"))&amp;":$AZ"&amp;ROW(INDIRECT("'"&amp;$D12&amp;"'!TestResult"))),U$9))</f>
        <v>0</v>
      </c>
      <c r="V12" s="120"/>
      <c r="W12" s="116"/>
      <c r="X12" s="115">
        <f ca="1">IF($D12="","",COUNTIF(INDIRECT("'"&amp;$D12&amp;"'!$H"&amp;ROW(INDIRECT("'"&amp;$D12&amp;"'!TestResult"))&amp;":$AZ"&amp;ROW(INDIRECT("'"&amp;$D12&amp;"'!TestResult"))),X$9))</f>
        <v>0</v>
      </c>
      <c r="Y12" s="120"/>
      <c r="Z12" s="116"/>
      <c r="AA12" s="109">
        <f ca="1">SUM(O12:Z12)</f>
        <v>8</v>
      </c>
      <c r="AB12" s="110"/>
      <c r="AC12" s="110"/>
      <c r="AD12" s="111"/>
      <c r="AE12" s="109">
        <f ca="1">K12-AA12</f>
        <v>0</v>
      </c>
      <c r="AF12" s="110"/>
      <c r="AG12" s="110"/>
      <c r="AH12" s="111"/>
      <c r="AI12" s="112">
        <f ca="1">IF($D12="","",SUM(INDIRECT("'"&amp;$D12&amp;"'!BugCount")))</f>
        <v>0</v>
      </c>
      <c r="AJ12" s="113"/>
      <c r="AK12" s="113"/>
      <c r="AL12" s="114"/>
    </row>
    <row r="13" spans="1:38" s="4" customFormat="1">
      <c r="B13" s="115">
        <v>4</v>
      </c>
      <c r="C13" s="116"/>
      <c r="D13" s="117" t="s">
        <v>158</v>
      </c>
      <c r="E13" s="118"/>
      <c r="F13" s="118"/>
      <c r="G13" s="118"/>
      <c r="H13" s="118"/>
      <c r="I13" s="118"/>
      <c r="J13" s="119"/>
      <c r="K13" s="109">
        <f ca="1">IF($D13="",0,MAX(INDIRECT("'"&amp;$D13&amp;"'!$H3:$AZ3")))</f>
        <v>1</v>
      </c>
      <c r="L13" s="110"/>
      <c r="M13" s="110"/>
      <c r="N13" s="111"/>
      <c r="O13" s="115">
        <f ca="1">IF($D13="","",COUNTIF(INDIRECT("'"&amp;$D13&amp;"'!$H"&amp;ROW(INDIRECT("'"&amp;$D13&amp;"'!TestResult"))&amp;":$AZ"&amp;ROW(INDIRECT("'"&amp;$D13&amp;"'!TestResult"))),O$9))</f>
        <v>1</v>
      </c>
      <c r="P13" s="120"/>
      <c r="Q13" s="116"/>
      <c r="R13" s="115">
        <f ca="1">IF($D13="","",COUNTIF(INDIRECT("'"&amp;$D13&amp;"'!$H"&amp;ROW(INDIRECT("'"&amp;$D13&amp;"'!TestResult"))&amp;":$AZ"&amp;ROW(INDIRECT("'"&amp;$D13&amp;"'!TestResult"))),R$9))</f>
        <v>0</v>
      </c>
      <c r="S13" s="120"/>
      <c r="T13" s="116"/>
      <c r="U13" s="115">
        <f ca="1">IF($D13="","",COUNTIF(INDIRECT("'"&amp;$D13&amp;"'!$H"&amp;ROW(INDIRECT("'"&amp;$D13&amp;"'!TestResult"))&amp;":$AZ"&amp;ROW(INDIRECT("'"&amp;$D13&amp;"'!TestResult"))),U$9))</f>
        <v>0</v>
      </c>
      <c r="V13" s="120"/>
      <c r="W13" s="116"/>
      <c r="X13" s="115">
        <f ca="1">IF($D13="","",COUNTIF(INDIRECT("'"&amp;$D13&amp;"'!$H"&amp;ROW(INDIRECT("'"&amp;$D13&amp;"'!TestResult"))&amp;":$AZ"&amp;ROW(INDIRECT("'"&amp;$D13&amp;"'!TestResult"))),X$9))</f>
        <v>0</v>
      </c>
      <c r="Y13" s="120"/>
      <c r="Z13" s="116"/>
      <c r="AA13" s="109">
        <f ca="1">SUM(O13:Z13)</f>
        <v>1</v>
      </c>
      <c r="AB13" s="110"/>
      <c r="AC13" s="110"/>
      <c r="AD13" s="111"/>
      <c r="AE13" s="109">
        <f ca="1">K13-AA13</f>
        <v>0</v>
      </c>
      <c r="AF13" s="110"/>
      <c r="AG13" s="110"/>
      <c r="AH13" s="111"/>
      <c r="AI13" s="112">
        <f ca="1">IF($D13="","",SUM(INDIRECT("'"&amp;$D13&amp;"'!BugCount")))</f>
        <v>0</v>
      </c>
      <c r="AJ13" s="113"/>
      <c r="AK13" s="113"/>
      <c r="AL13" s="114"/>
    </row>
    <row r="14" spans="1:38" s="8" customFormat="1" ht="20.25">
      <c r="B14" s="5"/>
      <c r="C14" s="5"/>
      <c r="D14" s="6"/>
      <c r="E14" s="52"/>
      <c r="F14" s="52"/>
      <c r="G14" s="52"/>
      <c r="H14" s="52"/>
      <c r="I14" s="52"/>
      <c r="J14" s="52"/>
      <c r="K14" s="7"/>
      <c r="L14" s="7"/>
      <c r="M14" s="7"/>
      <c r="N14" s="7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"/>
      <c r="AG14" s="7"/>
      <c r="AH14" s="7"/>
      <c r="AI14" s="7"/>
      <c r="AJ14" s="7"/>
      <c r="AK14" s="7"/>
      <c r="AL14" s="7"/>
    </row>
    <row r="15" spans="1:38" s="4" customFormat="1">
      <c r="A15" s="4" t="s">
        <v>50</v>
      </c>
      <c r="B15" s="149" t="s">
        <v>2</v>
      </c>
      <c r="C15" s="150"/>
      <c r="D15" s="150"/>
      <c r="E15" s="150"/>
      <c r="F15" s="150"/>
      <c r="G15" s="150"/>
      <c r="H15" s="150"/>
      <c r="I15" s="150"/>
      <c r="J15" s="151"/>
      <c r="K15" s="143">
        <f ca="1">SUBTOTAL(9,K9:K14)</f>
        <v>25</v>
      </c>
      <c r="L15" s="144"/>
      <c r="M15" s="144"/>
      <c r="N15" s="145"/>
      <c r="O15" s="140">
        <f ca="1">SUBTOTAL(9,O9:O14)</f>
        <v>25</v>
      </c>
      <c r="P15" s="141"/>
      <c r="Q15" s="142"/>
      <c r="R15" s="140">
        <f ca="1">SUBTOTAL(9,R9:R14)</f>
        <v>0</v>
      </c>
      <c r="S15" s="141"/>
      <c r="T15" s="142"/>
      <c r="U15" s="140">
        <f ca="1">SUBTOTAL(9,U9:U14)</f>
        <v>0</v>
      </c>
      <c r="V15" s="141"/>
      <c r="W15" s="142"/>
      <c r="X15" s="140">
        <f ca="1">SUBTOTAL(9,X9:X14)</f>
        <v>0</v>
      </c>
      <c r="Y15" s="141"/>
      <c r="Z15" s="142"/>
      <c r="AA15" s="140">
        <f ca="1">SUBTOTAL(9,AA9:AA14)</f>
        <v>25</v>
      </c>
      <c r="AB15" s="141"/>
      <c r="AC15" s="141"/>
      <c r="AD15" s="142"/>
      <c r="AE15" s="140">
        <f ca="1">SUBTOTAL(9,AE9:AE14)</f>
        <v>0</v>
      </c>
      <c r="AF15" s="141"/>
      <c r="AG15" s="141"/>
      <c r="AH15" s="142"/>
      <c r="AI15" s="143">
        <f ca="1">SUBTOTAL(9,AI9:AI14)</f>
        <v>0</v>
      </c>
      <c r="AJ15" s="144"/>
      <c r="AK15" s="144"/>
      <c r="AL15" s="145"/>
    </row>
    <row r="16" spans="1:38" s="4" customFormat="1" ht="12.75" customHeight="1">
      <c r="B16" s="149" t="s">
        <v>3</v>
      </c>
      <c r="C16" s="150"/>
      <c r="D16" s="150"/>
      <c r="E16" s="150"/>
      <c r="F16" s="150"/>
      <c r="G16" s="150"/>
      <c r="H16" s="150"/>
      <c r="I16" s="150"/>
      <c r="J16" s="151"/>
      <c r="K16" s="146"/>
      <c r="L16" s="147"/>
      <c r="M16" s="147"/>
      <c r="N16" s="148"/>
      <c r="O16" s="122">
        <f ca="1">IF(ISERR(O15/$K$15),0,O15/$K$15)</f>
        <v>1</v>
      </c>
      <c r="P16" s="123"/>
      <c r="Q16" s="124"/>
      <c r="R16" s="122">
        <f ca="1">IF(ISERR(R15/$K$15),0,R15/$K$15)</f>
        <v>0</v>
      </c>
      <c r="S16" s="123"/>
      <c r="T16" s="124"/>
      <c r="U16" s="122">
        <f ca="1">IF(ISERR(U15/$K$15),0,U15/$K$15)</f>
        <v>0</v>
      </c>
      <c r="V16" s="123"/>
      <c r="W16" s="124"/>
      <c r="X16" s="122">
        <f ca="1">IF(ISERR(X15/$K$15),0,X15/$K$15)</f>
        <v>0</v>
      </c>
      <c r="Y16" s="123"/>
      <c r="Z16" s="124"/>
      <c r="AA16" s="122">
        <f ca="1">IF(ISERR(AA15/$K$15),0,AA15/$K$15)</f>
        <v>1</v>
      </c>
      <c r="AB16" s="123"/>
      <c r="AC16" s="123"/>
      <c r="AD16" s="124"/>
      <c r="AE16" s="122">
        <f ca="1">IF(ISERR(AE15/$K$15),0,AE15/$K$15)</f>
        <v>0</v>
      </c>
      <c r="AF16" s="123"/>
      <c r="AG16" s="123"/>
      <c r="AH16" s="124"/>
      <c r="AI16" s="146"/>
      <c r="AJ16" s="147"/>
      <c r="AK16" s="147"/>
      <c r="AL16" s="148"/>
    </row>
    <row r="32" spans="2:15" ht="15" customHeight="1">
      <c r="B32" s="121" t="s">
        <v>57</v>
      </c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</row>
    <row r="33" spans="2:15"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85">
    <mergeCell ref="X15:Z15"/>
    <mergeCell ref="U10:W10"/>
    <mergeCell ref="U15:W15"/>
    <mergeCell ref="AA10:AD10"/>
    <mergeCell ref="AA15:AD15"/>
    <mergeCell ref="AI8:AL8"/>
    <mergeCell ref="AE8:AH8"/>
    <mergeCell ref="AE9:AH9"/>
    <mergeCell ref="X11:Z11"/>
    <mergeCell ref="AA11:AD11"/>
    <mergeCell ref="K8:N8"/>
    <mergeCell ref="AA9:AD9"/>
    <mergeCell ref="AA8:AD8"/>
    <mergeCell ref="O8:Z8"/>
    <mergeCell ref="X9:Z9"/>
    <mergeCell ref="R9:T9"/>
    <mergeCell ref="U9:W9"/>
    <mergeCell ref="B15:J15"/>
    <mergeCell ref="B16:J16"/>
    <mergeCell ref="B10:C10"/>
    <mergeCell ref="B9:C9"/>
    <mergeCell ref="D9:J9"/>
    <mergeCell ref="X16:Z16"/>
    <mergeCell ref="K15:N16"/>
    <mergeCell ref="O10:Q10"/>
    <mergeCell ref="O15:Q15"/>
    <mergeCell ref="O16:Q16"/>
    <mergeCell ref="K10:N10"/>
    <mergeCell ref="R10:T10"/>
    <mergeCell ref="R15:T15"/>
    <mergeCell ref="AI15:AL16"/>
    <mergeCell ref="AE10:AH10"/>
    <mergeCell ref="AE15:AH15"/>
    <mergeCell ref="AE16:AH16"/>
    <mergeCell ref="R16:T16"/>
    <mergeCell ref="AA16:AD16"/>
    <mergeCell ref="X10:Z10"/>
    <mergeCell ref="X3:Z3"/>
    <mergeCell ref="AA3:AD3"/>
    <mergeCell ref="B6:AL6"/>
    <mergeCell ref="AI10:AL10"/>
    <mergeCell ref="O9:Q9"/>
    <mergeCell ref="K9:N9"/>
    <mergeCell ref="D10:J10"/>
    <mergeCell ref="B8:C8"/>
    <mergeCell ref="D8:J8"/>
    <mergeCell ref="AI9:AL9"/>
    <mergeCell ref="B32:O33"/>
    <mergeCell ref="U16:W16"/>
    <mergeCell ref="AE3:AH3"/>
    <mergeCell ref="AI3:AL3"/>
    <mergeCell ref="B3:C3"/>
    <mergeCell ref="D3:J3"/>
    <mergeCell ref="K3:N3"/>
    <mergeCell ref="O3:Q3"/>
    <mergeCell ref="R3:T3"/>
    <mergeCell ref="U3:W3"/>
    <mergeCell ref="X12:Z12"/>
    <mergeCell ref="AA12:AD12"/>
    <mergeCell ref="B11:C11"/>
    <mergeCell ref="D11:J11"/>
    <mergeCell ref="K11:N11"/>
    <mergeCell ref="O11:Q11"/>
    <mergeCell ref="R11:T11"/>
    <mergeCell ref="U11:W11"/>
    <mergeCell ref="X13:Z13"/>
    <mergeCell ref="AA13:AD13"/>
    <mergeCell ref="AE11:AH11"/>
    <mergeCell ref="AI11:AL11"/>
    <mergeCell ref="B12:C12"/>
    <mergeCell ref="D12:J12"/>
    <mergeCell ref="K12:N12"/>
    <mergeCell ref="O12:Q12"/>
    <mergeCell ref="R12:T12"/>
    <mergeCell ref="U12:W12"/>
    <mergeCell ref="AE13:AH13"/>
    <mergeCell ref="AI13:AL13"/>
    <mergeCell ref="AE12:AH12"/>
    <mergeCell ref="AI12:AL12"/>
    <mergeCell ref="B13:C13"/>
    <mergeCell ref="D13:J13"/>
    <mergeCell ref="K13:N13"/>
    <mergeCell ref="O13:Q13"/>
    <mergeCell ref="R13:T13"/>
    <mergeCell ref="U13:W13"/>
  </mergeCells>
  <phoneticPr fontId="4"/>
  <conditionalFormatting sqref="K14:AL14 K4:AL4 AI3:AL3 K3:AE3 AI10:AL13 K10:AE13">
    <cfRule type="cellIs" dxfId="1374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7" t="s">
        <v>8</v>
      </c>
      <c r="C1" s="188"/>
      <c r="D1" s="188"/>
      <c r="E1" s="189"/>
      <c r="F1" s="187" t="s">
        <v>6</v>
      </c>
      <c r="G1" s="188"/>
      <c r="H1" s="188"/>
      <c r="I1" s="188"/>
      <c r="J1" s="188"/>
      <c r="K1" s="188"/>
      <c r="L1" s="188"/>
      <c r="M1" s="188"/>
      <c r="N1" s="188"/>
      <c r="O1" s="189"/>
      <c r="P1" s="168" t="s">
        <v>0</v>
      </c>
      <c r="Q1" s="169"/>
      <c r="R1" s="169"/>
      <c r="S1" s="170"/>
      <c r="T1" s="187" t="s">
        <v>10</v>
      </c>
      <c r="U1" s="188"/>
      <c r="V1" s="188"/>
      <c r="W1" s="188"/>
      <c r="X1" s="188"/>
      <c r="Y1" s="188"/>
      <c r="Z1" s="189"/>
      <c r="AA1" s="190" t="s">
        <v>11</v>
      </c>
      <c r="AB1" s="190"/>
      <c r="AC1" s="191"/>
      <c r="AD1" s="191"/>
      <c r="AE1" s="191"/>
      <c r="AF1" s="192"/>
    </row>
    <row r="2" spans="1:32" ht="20.100000000000001" customHeight="1" thickBot="1">
      <c r="A2" s="64" t="s">
        <v>4</v>
      </c>
      <c r="B2" s="181" t="s">
        <v>8</v>
      </c>
      <c r="C2" s="182"/>
      <c r="D2" s="182"/>
      <c r="E2" s="183"/>
      <c r="F2" s="181" t="s">
        <v>7</v>
      </c>
      <c r="G2" s="182"/>
      <c r="H2" s="183"/>
      <c r="I2" s="176" t="s">
        <v>12</v>
      </c>
      <c r="J2" s="177"/>
      <c r="K2" s="177"/>
      <c r="L2" s="177"/>
      <c r="M2" s="177"/>
      <c r="N2" s="177"/>
      <c r="O2" s="178"/>
      <c r="P2" s="181"/>
      <c r="Q2" s="182"/>
      <c r="R2" s="182"/>
      <c r="S2" s="182"/>
      <c r="T2" s="182"/>
      <c r="U2" s="182"/>
      <c r="V2" s="182"/>
      <c r="W2" s="182"/>
      <c r="X2" s="182"/>
      <c r="Y2" s="182"/>
      <c r="Z2" s="183"/>
      <c r="AA2" s="184" t="s">
        <v>13</v>
      </c>
      <c r="AB2" s="185"/>
      <c r="AC2" s="181" t="s">
        <v>14</v>
      </c>
      <c r="AD2" s="182"/>
      <c r="AE2" s="182"/>
      <c r="AF2" s="201"/>
    </row>
    <row r="3" spans="1:32" ht="37.5" customHeight="1" thickBot="1">
      <c r="A3" s="66" t="s">
        <v>51</v>
      </c>
      <c r="B3" s="10"/>
      <c r="C3" s="10"/>
      <c r="D3" s="10"/>
      <c r="E3" s="10"/>
      <c r="F3" s="10"/>
      <c r="G3" s="65" t="s">
        <v>52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2" t="s">
        <v>53</v>
      </c>
      <c r="B4" s="204" t="s">
        <v>22</v>
      </c>
      <c r="C4" s="204"/>
      <c r="D4" s="204"/>
      <c r="E4" s="204"/>
      <c r="F4" s="204"/>
      <c r="G4" s="20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3"/>
      <c r="B5" s="166" t="s">
        <v>23</v>
      </c>
      <c r="C5" s="205"/>
      <c r="D5" s="205"/>
      <c r="E5" s="205"/>
      <c r="F5" s="205"/>
      <c r="G5" s="205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3"/>
      <c r="B6" s="21"/>
      <c r="C6" s="206" t="s">
        <v>24</v>
      </c>
      <c r="D6" s="167"/>
      <c r="E6" s="167"/>
      <c r="F6" s="167"/>
      <c r="G6" s="167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3"/>
      <c r="B7" s="21"/>
      <c r="C7" s="180"/>
      <c r="D7" s="166"/>
      <c r="E7" s="167"/>
      <c r="F7" s="167"/>
      <c r="G7" s="167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03"/>
      <c r="B8" s="21"/>
      <c r="C8" s="180"/>
      <c r="D8" s="166"/>
      <c r="E8" s="167"/>
      <c r="F8" s="167"/>
      <c r="G8" s="167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03"/>
      <c r="B9" s="21"/>
      <c r="C9" s="186" t="s">
        <v>25</v>
      </c>
      <c r="D9" s="167"/>
      <c r="E9" s="167"/>
      <c r="F9" s="167"/>
      <c r="G9" s="167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03"/>
      <c r="B10" s="21"/>
      <c r="C10" s="180"/>
      <c r="D10" s="166"/>
      <c r="E10" s="167"/>
      <c r="F10" s="167"/>
      <c r="G10" s="167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03"/>
      <c r="B11" s="21"/>
      <c r="C11" s="180"/>
      <c r="D11" s="166"/>
      <c r="E11" s="167"/>
      <c r="F11" s="167"/>
      <c r="G11" s="167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03"/>
      <c r="B12" s="21"/>
      <c r="C12" s="166"/>
      <c r="D12" s="167"/>
      <c r="E12" s="167"/>
      <c r="F12" s="167"/>
      <c r="G12" s="167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03"/>
      <c r="B13" s="21"/>
      <c r="C13" s="180"/>
      <c r="D13" s="166"/>
      <c r="E13" s="167"/>
      <c r="F13" s="167"/>
      <c r="G13" s="167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03"/>
      <c r="B14" s="21"/>
      <c r="C14" s="180"/>
      <c r="D14" s="166"/>
      <c r="E14" s="167"/>
      <c r="F14" s="167"/>
      <c r="G14" s="167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7" t="s">
        <v>54</v>
      </c>
      <c r="B15" s="210" t="s">
        <v>26</v>
      </c>
      <c r="C15" s="204"/>
      <c r="D15" s="204"/>
      <c r="E15" s="204"/>
      <c r="F15" s="204"/>
      <c r="G15" s="204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8"/>
      <c r="B16" s="28"/>
      <c r="C16" s="164" t="s">
        <v>27</v>
      </c>
      <c r="D16" s="165"/>
      <c r="E16" s="165"/>
      <c r="F16" s="165"/>
      <c r="G16" s="165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8"/>
      <c r="B17" s="211"/>
      <c r="C17" s="164" t="s">
        <v>28</v>
      </c>
      <c r="D17" s="165"/>
      <c r="E17" s="165"/>
      <c r="F17" s="165"/>
      <c r="G17" s="165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8"/>
      <c r="B18" s="211"/>
      <c r="C18" s="164" t="s">
        <v>29</v>
      </c>
      <c r="D18" s="165"/>
      <c r="E18" s="165"/>
      <c r="F18" s="165"/>
      <c r="G18" s="165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8"/>
      <c r="B19" s="211"/>
      <c r="C19" s="164" t="s">
        <v>30</v>
      </c>
      <c r="D19" s="165"/>
      <c r="E19" s="165"/>
      <c r="F19" s="165"/>
      <c r="G19" s="165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8"/>
      <c r="B20" s="211"/>
      <c r="C20" s="164"/>
      <c r="D20" s="165"/>
      <c r="E20" s="165"/>
      <c r="F20" s="165"/>
      <c r="G20" s="165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8"/>
      <c r="B21" s="211"/>
      <c r="C21" s="164"/>
      <c r="D21" s="165"/>
      <c r="E21" s="165"/>
      <c r="F21" s="165"/>
      <c r="G21" s="165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8"/>
      <c r="B22" s="211"/>
      <c r="C22" s="164"/>
      <c r="D22" s="165"/>
      <c r="E22" s="165"/>
      <c r="F22" s="165"/>
      <c r="G22" s="165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09"/>
      <c r="B23" s="211"/>
      <c r="C23" s="212"/>
      <c r="D23" s="213"/>
      <c r="E23" s="213"/>
      <c r="F23" s="213"/>
      <c r="G23" s="213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93" t="s">
        <v>55</v>
      </c>
      <c r="B24" s="195"/>
      <c r="C24" s="196"/>
      <c r="D24" s="196"/>
      <c r="E24" s="196"/>
      <c r="F24" s="197"/>
      <c r="G24" s="35" t="s">
        <v>44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4"/>
      <c r="B25" s="198"/>
      <c r="C25" s="199"/>
      <c r="D25" s="199"/>
      <c r="E25" s="199"/>
      <c r="F25" s="200"/>
      <c r="G25" s="39" t="s">
        <v>45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4"/>
      <c r="B26" s="198"/>
      <c r="C26" s="199"/>
      <c r="D26" s="199"/>
      <c r="E26" s="199"/>
      <c r="F26" s="200"/>
      <c r="G26" s="39" t="s">
        <v>46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94"/>
      <c r="B27" s="198"/>
      <c r="C27" s="199"/>
      <c r="D27" s="199"/>
      <c r="E27" s="199"/>
      <c r="F27" s="200"/>
      <c r="G27" s="46" t="s">
        <v>47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71" t="s">
        <v>56</v>
      </c>
      <c r="B28" s="173" t="s">
        <v>48</v>
      </c>
      <c r="C28" s="173"/>
      <c r="D28" s="173"/>
      <c r="E28" s="173"/>
      <c r="F28" s="174" t="str">
        <f>GetBugSheetName()</f>
        <v>Page_Load_</v>
      </c>
      <c r="G28" s="175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72"/>
      <c r="B29" s="176" t="s">
        <v>31</v>
      </c>
      <c r="C29" s="177"/>
      <c r="D29" s="177"/>
      <c r="E29" s="178"/>
      <c r="F29" s="176"/>
      <c r="G29" s="179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  <mergeCell ref="A24:A27"/>
    <mergeCell ref="B24:F24"/>
    <mergeCell ref="B25:F25"/>
    <mergeCell ref="B26:F26"/>
    <mergeCell ref="B27:F27"/>
    <mergeCell ref="AC2:AF2"/>
    <mergeCell ref="A4:A14"/>
    <mergeCell ref="B4:G4"/>
    <mergeCell ref="B5:G5"/>
    <mergeCell ref="C6:G6"/>
    <mergeCell ref="D8:G8"/>
    <mergeCell ref="T1:Z1"/>
    <mergeCell ref="AA1:AB1"/>
    <mergeCell ref="AC1:AF1"/>
    <mergeCell ref="F2:H2"/>
    <mergeCell ref="B1:E1"/>
    <mergeCell ref="F1:O1"/>
    <mergeCell ref="B2:E2"/>
    <mergeCell ref="D13:G13"/>
    <mergeCell ref="I2:O2"/>
    <mergeCell ref="P2:Z2"/>
    <mergeCell ref="AA2:AB2"/>
    <mergeCell ref="C9:G9"/>
    <mergeCell ref="C10:C11"/>
    <mergeCell ref="D10:G10"/>
    <mergeCell ref="D11:G11"/>
    <mergeCell ref="C7:C8"/>
    <mergeCell ref="D7:G7"/>
    <mergeCell ref="C18:G18"/>
    <mergeCell ref="D14:G14"/>
    <mergeCell ref="P1:S1"/>
    <mergeCell ref="A28:A29"/>
    <mergeCell ref="B28:E28"/>
    <mergeCell ref="F28:G28"/>
    <mergeCell ref="B29:E29"/>
    <mergeCell ref="F29:G29"/>
    <mergeCell ref="C12:G12"/>
    <mergeCell ref="C13:C14"/>
  </mergeCells>
  <phoneticPr fontId="4"/>
  <conditionalFormatting sqref="H3:AF29">
    <cfRule type="expression" dxfId="1373" priority="1" stopIfTrue="1">
      <formula>H$27="NA"</formula>
    </cfRule>
    <cfRule type="expression" dxfId="1372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6"/>
  <sheetViews>
    <sheetView tabSelected="1"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33" sqref="H33:O33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87" t="s">
        <v>68</v>
      </c>
      <c r="C1" s="188"/>
      <c r="D1" s="188"/>
      <c r="E1" s="189"/>
      <c r="F1" s="187" t="s">
        <v>69</v>
      </c>
      <c r="G1" s="188"/>
      <c r="H1" s="188"/>
      <c r="I1" s="188"/>
      <c r="J1" s="188"/>
      <c r="K1" s="188"/>
      <c r="L1" s="188"/>
      <c r="M1" s="188"/>
      <c r="N1" s="188"/>
      <c r="O1" s="189"/>
      <c r="P1" s="168" t="s">
        <v>38</v>
      </c>
      <c r="Q1" s="169"/>
      <c r="R1" s="169"/>
      <c r="S1" s="170"/>
      <c r="T1" s="187" t="s">
        <v>70</v>
      </c>
      <c r="U1" s="188"/>
      <c r="V1" s="188"/>
      <c r="W1" s="188"/>
      <c r="X1" s="188"/>
      <c r="Y1" s="188"/>
      <c r="Z1" s="189"/>
      <c r="AA1" s="190" t="s">
        <v>39</v>
      </c>
      <c r="AB1" s="190"/>
      <c r="AC1" s="191">
        <v>43712</v>
      </c>
      <c r="AD1" s="191"/>
      <c r="AE1" s="191"/>
      <c r="AF1" s="192"/>
    </row>
    <row r="2" spans="1:32" ht="20.100000000000001" customHeight="1" thickBot="1">
      <c r="A2" s="64" t="s">
        <v>40</v>
      </c>
      <c r="B2" s="181" t="s">
        <v>71</v>
      </c>
      <c r="C2" s="182"/>
      <c r="D2" s="182"/>
      <c r="E2" s="183"/>
      <c r="F2" s="181" t="s">
        <v>72</v>
      </c>
      <c r="G2" s="182"/>
      <c r="H2" s="183"/>
      <c r="I2" s="176" t="s">
        <v>73</v>
      </c>
      <c r="J2" s="177"/>
      <c r="K2" s="177"/>
      <c r="L2" s="177"/>
      <c r="M2" s="177"/>
      <c r="N2" s="177"/>
      <c r="O2" s="178"/>
      <c r="P2" s="181"/>
      <c r="Q2" s="182"/>
      <c r="R2" s="182"/>
      <c r="S2" s="182"/>
      <c r="T2" s="182"/>
      <c r="U2" s="182"/>
      <c r="V2" s="182"/>
      <c r="W2" s="182"/>
      <c r="X2" s="182"/>
      <c r="Y2" s="182"/>
      <c r="Z2" s="183"/>
      <c r="AA2" s="184" t="s">
        <v>41</v>
      </c>
      <c r="AB2" s="185"/>
      <c r="AC2" s="181" t="s">
        <v>42</v>
      </c>
      <c r="AD2" s="182"/>
      <c r="AE2" s="182"/>
      <c r="AF2" s="201"/>
    </row>
    <row r="3" spans="1:32" ht="37.5" customHeight="1" thickBot="1">
      <c r="A3" s="66" t="s">
        <v>58</v>
      </c>
      <c r="B3" s="10"/>
      <c r="C3" s="10"/>
      <c r="D3" s="10"/>
      <c r="E3" s="10"/>
      <c r="F3" s="10"/>
      <c r="G3" s="65" t="s">
        <v>59</v>
      </c>
      <c r="H3" s="11">
        <f>IF(COUNTA(H4:H30)&gt;0,1,"")</f>
        <v>1</v>
      </c>
      <c r="I3" s="12">
        <f t="shared" ref="I3:AF3" si="0">IF(COUNTA(I4:I30)&gt;0,IF(H3&gt;0,H3+1,""),"")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2" t="s">
        <v>60</v>
      </c>
      <c r="B4" s="204" t="s">
        <v>74</v>
      </c>
      <c r="C4" s="204"/>
      <c r="D4" s="204"/>
      <c r="E4" s="204"/>
      <c r="F4" s="204"/>
      <c r="G4" s="20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3"/>
      <c r="B5" s="166" t="s">
        <v>75</v>
      </c>
      <c r="C5" s="205"/>
      <c r="D5" s="205"/>
      <c r="E5" s="205"/>
      <c r="F5" s="205"/>
      <c r="G5" s="205"/>
      <c r="H5" s="82" t="s">
        <v>104</v>
      </c>
      <c r="I5" s="82" t="s">
        <v>104</v>
      </c>
      <c r="J5" s="82" t="s">
        <v>104</v>
      </c>
      <c r="K5" s="82" t="s">
        <v>104</v>
      </c>
      <c r="L5" s="82" t="s">
        <v>104</v>
      </c>
      <c r="M5" s="82" t="s">
        <v>104</v>
      </c>
      <c r="N5" s="82" t="s">
        <v>104</v>
      </c>
      <c r="O5" s="82" t="s">
        <v>104</v>
      </c>
      <c r="P5" s="82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3"/>
      <c r="B6" s="21"/>
      <c r="C6" s="74" t="s">
        <v>84</v>
      </c>
      <c r="D6" s="214" t="s">
        <v>77</v>
      </c>
      <c r="E6" s="214"/>
      <c r="F6" s="214"/>
      <c r="G6" s="215"/>
      <c r="H6" s="82" t="s">
        <v>104</v>
      </c>
      <c r="I6" s="83"/>
      <c r="J6" s="83"/>
      <c r="K6" s="83"/>
      <c r="L6" s="83"/>
      <c r="M6" s="83"/>
      <c r="N6" s="83"/>
      <c r="O6" s="83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03"/>
      <c r="B7" s="21"/>
      <c r="C7" s="74" t="s">
        <v>85</v>
      </c>
      <c r="D7" s="214" t="s">
        <v>78</v>
      </c>
      <c r="E7" s="214"/>
      <c r="F7" s="214"/>
      <c r="G7" s="215"/>
      <c r="H7" s="84"/>
      <c r="I7" s="82" t="s">
        <v>104</v>
      </c>
      <c r="J7" s="83"/>
      <c r="K7" s="83"/>
      <c r="L7" s="83"/>
      <c r="M7" s="83"/>
      <c r="N7" s="83"/>
      <c r="O7" s="83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03"/>
      <c r="B8" s="21"/>
      <c r="C8" s="74" t="s">
        <v>86</v>
      </c>
      <c r="D8" s="214" t="s">
        <v>79</v>
      </c>
      <c r="E8" s="214"/>
      <c r="F8" s="214"/>
      <c r="G8" s="215"/>
      <c r="H8" s="84"/>
      <c r="I8" s="83"/>
      <c r="J8" s="82" t="s">
        <v>104</v>
      </c>
      <c r="K8" s="83"/>
      <c r="L8" s="83"/>
      <c r="M8" s="83"/>
      <c r="N8" s="83"/>
      <c r="O8" s="83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03"/>
      <c r="B9" s="21"/>
      <c r="C9" s="75" t="s">
        <v>87</v>
      </c>
      <c r="D9" s="214" t="s">
        <v>80</v>
      </c>
      <c r="E9" s="214"/>
      <c r="F9" s="214"/>
      <c r="G9" s="215"/>
      <c r="H9" s="84"/>
      <c r="I9" s="83"/>
      <c r="J9" s="83"/>
      <c r="K9" s="82" t="s">
        <v>104</v>
      </c>
      <c r="L9" s="85"/>
      <c r="M9" s="83"/>
      <c r="N9" s="83"/>
      <c r="O9" s="83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03"/>
      <c r="B10" s="21"/>
      <c r="C10" s="73" t="s">
        <v>88</v>
      </c>
      <c r="D10" s="214" t="s">
        <v>81</v>
      </c>
      <c r="E10" s="214"/>
      <c r="F10" s="214"/>
      <c r="G10" s="215"/>
      <c r="H10" s="84"/>
      <c r="I10" s="83"/>
      <c r="J10" s="83"/>
      <c r="K10" s="85"/>
      <c r="L10" s="82"/>
      <c r="M10" s="83"/>
      <c r="N10" s="83"/>
      <c r="O10" s="83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03"/>
      <c r="B11" s="21"/>
      <c r="C11" s="73"/>
      <c r="D11" s="72"/>
      <c r="E11" s="214" t="s">
        <v>90</v>
      </c>
      <c r="F11" s="214"/>
      <c r="G11" s="216"/>
      <c r="H11" s="84"/>
      <c r="I11" s="83"/>
      <c r="J11" s="83"/>
      <c r="K11" s="83"/>
      <c r="L11" s="82" t="s">
        <v>104</v>
      </c>
      <c r="N11" s="83"/>
      <c r="O11" s="83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03"/>
      <c r="B12" s="21"/>
      <c r="C12" s="75"/>
      <c r="D12" s="73"/>
      <c r="E12" s="214" t="s">
        <v>91</v>
      </c>
      <c r="F12" s="214"/>
      <c r="G12" s="216"/>
      <c r="H12" s="86"/>
      <c r="I12" s="83"/>
      <c r="J12" s="83"/>
      <c r="K12" s="83"/>
      <c r="L12" s="83"/>
      <c r="M12" s="82" t="s">
        <v>104</v>
      </c>
      <c r="O12" s="83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03"/>
      <c r="B13" s="21"/>
      <c r="C13" s="73" t="s">
        <v>88</v>
      </c>
      <c r="D13" s="214" t="s">
        <v>82</v>
      </c>
      <c r="E13" s="214"/>
      <c r="F13" s="214"/>
      <c r="G13" s="215"/>
      <c r="H13" s="84"/>
      <c r="I13" s="83"/>
      <c r="J13" s="83"/>
      <c r="K13" s="83"/>
      <c r="L13" s="83"/>
      <c r="M13" s="83"/>
      <c r="N13" s="82" t="s">
        <v>104</v>
      </c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 thickBot="1">
      <c r="A14" s="203"/>
      <c r="B14" s="21"/>
      <c r="C14" s="76" t="s">
        <v>89</v>
      </c>
      <c r="D14" s="217" t="s">
        <v>83</v>
      </c>
      <c r="E14" s="217"/>
      <c r="F14" s="217"/>
      <c r="G14" s="218"/>
      <c r="H14" s="84"/>
      <c r="I14" s="83"/>
      <c r="J14" s="83"/>
      <c r="K14" s="83"/>
      <c r="L14" s="83"/>
      <c r="M14" s="83"/>
      <c r="N14" s="83"/>
      <c r="O14" s="82" t="s">
        <v>104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207" t="s">
        <v>61</v>
      </c>
      <c r="B15" s="210" t="s">
        <v>43</v>
      </c>
      <c r="C15" s="204"/>
      <c r="D15" s="204"/>
      <c r="E15" s="204"/>
      <c r="F15" s="204"/>
      <c r="G15" s="204"/>
      <c r="H15" s="25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8"/>
      <c r="B16" s="28"/>
      <c r="C16" s="164" t="s">
        <v>92</v>
      </c>
      <c r="D16" s="165"/>
      <c r="E16" s="165"/>
      <c r="F16" s="165"/>
      <c r="G16" s="219"/>
      <c r="H16" s="77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9"/>
    </row>
    <row r="17" spans="1:32" s="17" customFormat="1" ht="13.5" customHeight="1">
      <c r="A17" s="208"/>
      <c r="B17" s="28"/>
      <c r="C17" s="80"/>
      <c r="D17" s="165" t="s">
        <v>93</v>
      </c>
      <c r="E17" s="165"/>
      <c r="F17" s="165"/>
      <c r="G17" s="219"/>
      <c r="H17" s="82" t="s">
        <v>104</v>
      </c>
      <c r="I17" s="82" t="s">
        <v>104</v>
      </c>
      <c r="J17" s="87"/>
      <c r="K17" s="87"/>
      <c r="L17" s="87"/>
      <c r="M17" s="87"/>
      <c r="N17" s="87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9"/>
    </row>
    <row r="18" spans="1:32" s="17" customFormat="1" ht="13.5" customHeight="1">
      <c r="A18" s="208"/>
      <c r="B18" s="28"/>
      <c r="C18" s="80"/>
      <c r="D18" s="165" t="s">
        <v>94</v>
      </c>
      <c r="E18" s="165"/>
      <c r="F18" s="165"/>
      <c r="G18" s="219"/>
      <c r="H18" s="82" t="s">
        <v>104</v>
      </c>
      <c r="I18" s="82" t="s">
        <v>104</v>
      </c>
      <c r="J18" s="83"/>
      <c r="K18" s="83"/>
      <c r="L18" s="83"/>
      <c r="M18" s="83"/>
      <c r="N18" s="87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9"/>
    </row>
    <row r="19" spans="1:32" s="17" customFormat="1" ht="13.5" customHeight="1">
      <c r="A19" s="208"/>
      <c r="B19" s="28"/>
      <c r="C19" s="80"/>
      <c r="D19" s="164" t="s">
        <v>95</v>
      </c>
      <c r="E19" s="165"/>
      <c r="F19" s="165"/>
      <c r="G19" s="219"/>
      <c r="H19" s="84"/>
      <c r="I19" s="83"/>
      <c r="J19" s="83"/>
      <c r="K19" s="83"/>
      <c r="L19" s="82" t="s">
        <v>104</v>
      </c>
      <c r="M19" s="82" t="s">
        <v>104</v>
      </c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9"/>
    </row>
    <row r="20" spans="1:32" s="17" customFormat="1" ht="13.5" customHeight="1">
      <c r="A20" s="208"/>
      <c r="B20" s="28"/>
      <c r="C20" s="164" t="s">
        <v>96</v>
      </c>
      <c r="D20" s="165"/>
      <c r="E20" s="165"/>
      <c r="F20" s="165"/>
      <c r="G20" s="219"/>
      <c r="H20" s="88"/>
      <c r="I20" s="87"/>
      <c r="J20" s="87"/>
      <c r="K20" s="87"/>
      <c r="L20" s="87"/>
      <c r="M20" s="87"/>
      <c r="N20" s="87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9"/>
    </row>
    <row r="21" spans="1:32" s="17" customFormat="1" ht="13.5" customHeight="1">
      <c r="A21" s="208"/>
      <c r="B21" s="28"/>
      <c r="C21" s="81"/>
      <c r="D21" s="220" t="s">
        <v>97</v>
      </c>
      <c r="E21" s="220"/>
      <c r="F21" s="220"/>
      <c r="G21" s="220"/>
      <c r="H21" s="82" t="s">
        <v>104</v>
      </c>
      <c r="I21" s="82" t="s">
        <v>104</v>
      </c>
      <c r="J21" s="82" t="s">
        <v>104</v>
      </c>
      <c r="K21" s="82" t="s">
        <v>104</v>
      </c>
      <c r="L21" s="82" t="s">
        <v>104</v>
      </c>
      <c r="M21" s="82" t="s">
        <v>104</v>
      </c>
      <c r="N21" s="82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9"/>
    </row>
    <row r="22" spans="1:32" s="17" customFormat="1" ht="13.5" customHeight="1">
      <c r="A22" s="208"/>
      <c r="B22" s="28"/>
      <c r="C22" s="220" t="s">
        <v>98</v>
      </c>
      <c r="D22" s="220"/>
      <c r="E22" s="220"/>
      <c r="F22" s="220"/>
      <c r="G22" s="220"/>
      <c r="H22" s="77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9"/>
    </row>
    <row r="23" spans="1:32" s="17" customFormat="1" ht="13.5" customHeight="1">
      <c r="A23" s="208"/>
      <c r="B23" s="28"/>
      <c r="C23" s="81"/>
      <c r="D23" s="220" t="s">
        <v>77</v>
      </c>
      <c r="E23" s="220"/>
      <c r="F23" s="220"/>
      <c r="G23" s="220"/>
      <c r="H23" s="82" t="s">
        <v>104</v>
      </c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9"/>
    </row>
    <row r="24" spans="1:32" s="17" customFormat="1" ht="13.5" customHeight="1">
      <c r="A24" s="208"/>
      <c r="B24" s="28"/>
      <c r="C24" s="220" t="s">
        <v>99</v>
      </c>
      <c r="D24" s="220"/>
      <c r="E24" s="220"/>
      <c r="F24" s="220"/>
      <c r="G24" s="220"/>
      <c r="H24" s="77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9"/>
    </row>
    <row r="25" spans="1:32" s="17" customFormat="1" ht="13.5" customHeight="1">
      <c r="A25" s="208"/>
      <c r="B25" s="28"/>
      <c r="C25" s="81"/>
      <c r="D25" s="220" t="s">
        <v>103</v>
      </c>
      <c r="E25" s="220"/>
      <c r="F25" s="220"/>
      <c r="G25" s="220"/>
      <c r="H25" s="77"/>
      <c r="I25" s="78"/>
      <c r="J25" s="82" t="s">
        <v>104</v>
      </c>
      <c r="K25" s="87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9"/>
    </row>
    <row r="26" spans="1:32" s="17" customFormat="1" ht="13.5" customHeight="1">
      <c r="A26" s="208"/>
      <c r="B26" s="28"/>
      <c r="C26" s="220" t="s">
        <v>100</v>
      </c>
      <c r="D26" s="220"/>
      <c r="E26" s="220"/>
      <c r="F26" s="220"/>
      <c r="G26" s="220"/>
      <c r="H26" s="77"/>
      <c r="I26" s="78"/>
      <c r="J26" s="87"/>
      <c r="K26" s="87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9"/>
    </row>
    <row r="27" spans="1:32" s="17" customFormat="1" ht="13.5" customHeight="1">
      <c r="A27" s="208"/>
      <c r="B27" s="28"/>
      <c r="C27" s="81"/>
      <c r="D27" s="220" t="s">
        <v>103</v>
      </c>
      <c r="E27" s="220"/>
      <c r="F27" s="220"/>
      <c r="G27" s="220"/>
      <c r="H27" s="77"/>
      <c r="I27" s="78"/>
      <c r="J27" s="87"/>
      <c r="K27" s="82" t="s">
        <v>104</v>
      </c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9"/>
    </row>
    <row r="28" spans="1:32" s="17" customFormat="1" ht="13.5" customHeight="1">
      <c r="A28" s="208"/>
      <c r="B28" s="28"/>
      <c r="C28" s="164" t="s">
        <v>101</v>
      </c>
      <c r="D28" s="165"/>
      <c r="E28" s="165"/>
      <c r="F28" s="165"/>
      <c r="G28" s="221"/>
      <c r="H28" s="77"/>
      <c r="I28" s="78"/>
      <c r="J28" s="78"/>
      <c r="K28" s="78"/>
      <c r="L28" s="78"/>
      <c r="M28" s="78"/>
      <c r="N28" s="82" t="s">
        <v>104</v>
      </c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9"/>
    </row>
    <row r="29" spans="1:32" s="17" customFormat="1" ht="13.5" customHeight="1" thickBot="1">
      <c r="A29" s="208"/>
      <c r="B29" s="28"/>
      <c r="C29" s="222" t="s">
        <v>102</v>
      </c>
      <c r="D29" s="222"/>
      <c r="E29" s="222"/>
      <c r="F29" s="222"/>
      <c r="G29" s="222"/>
      <c r="H29" s="77"/>
      <c r="I29" s="78"/>
      <c r="J29" s="78"/>
      <c r="K29" s="78"/>
      <c r="L29" s="78"/>
      <c r="M29" s="78"/>
      <c r="N29" s="78"/>
      <c r="O29" s="82" t="s">
        <v>104</v>
      </c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9"/>
    </row>
    <row r="30" spans="1:32" s="17" customFormat="1" ht="24" customHeight="1">
      <c r="A30" s="193" t="s">
        <v>62</v>
      </c>
      <c r="B30" s="195"/>
      <c r="C30" s="196"/>
      <c r="D30" s="196"/>
      <c r="E30" s="196"/>
      <c r="F30" s="197"/>
      <c r="G30" s="35" t="s">
        <v>44</v>
      </c>
      <c r="H30" s="36" t="s">
        <v>136</v>
      </c>
      <c r="I30" s="36" t="s">
        <v>136</v>
      </c>
      <c r="J30" s="36" t="s">
        <v>136</v>
      </c>
      <c r="K30" s="36" t="s">
        <v>136</v>
      </c>
      <c r="L30" s="36" t="s">
        <v>136</v>
      </c>
      <c r="M30" s="36" t="s">
        <v>136</v>
      </c>
      <c r="N30" s="37" t="s">
        <v>137</v>
      </c>
      <c r="O30" s="37" t="s">
        <v>137</v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8"/>
    </row>
    <row r="31" spans="1:32" s="17" customFormat="1" ht="27" customHeight="1">
      <c r="A31" s="194"/>
      <c r="B31" s="198"/>
      <c r="C31" s="199"/>
      <c r="D31" s="199"/>
      <c r="E31" s="199"/>
      <c r="F31" s="200"/>
      <c r="G31" s="39" t="s">
        <v>45</v>
      </c>
      <c r="H31" s="40" t="s">
        <v>138</v>
      </c>
      <c r="I31" s="40" t="s">
        <v>138</v>
      </c>
      <c r="J31" s="40" t="s">
        <v>138</v>
      </c>
      <c r="K31" s="40" t="s">
        <v>138</v>
      </c>
      <c r="L31" s="40" t="s">
        <v>138</v>
      </c>
      <c r="M31" s="40" t="s">
        <v>138</v>
      </c>
      <c r="N31" s="40" t="s">
        <v>138</v>
      </c>
      <c r="O31" s="40" t="s">
        <v>138</v>
      </c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2"/>
    </row>
    <row r="32" spans="1:32" s="17" customFormat="1" ht="27" customHeight="1">
      <c r="A32" s="194"/>
      <c r="B32" s="198"/>
      <c r="C32" s="199"/>
      <c r="D32" s="199"/>
      <c r="E32" s="199"/>
      <c r="F32" s="200"/>
      <c r="G32" s="39" t="s">
        <v>46</v>
      </c>
      <c r="H32" s="43">
        <v>43712</v>
      </c>
      <c r="I32" s="43">
        <v>43712</v>
      </c>
      <c r="J32" s="43">
        <v>43712</v>
      </c>
      <c r="K32" s="43">
        <v>43712</v>
      </c>
      <c r="L32" s="43">
        <v>43712</v>
      </c>
      <c r="M32" s="43">
        <v>43712</v>
      </c>
      <c r="N32" s="43">
        <v>43712</v>
      </c>
      <c r="O32" s="43">
        <v>43712</v>
      </c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5"/>
    </row>
    <row r="33" spans="1:32" s="17" customFormat="1" ht="24.75" customHeight="1">
      <c r="A33" s="194"/>
      <c r="B33" s="198"/>
      <c r="C33" s="199"/>
      <c r="D33" s="199"/>
      <c r="E33" s="199"/>
      <c r="F33" s="200"/>
      <c r="G33" s="46" t="s">
        <v>47</v>
      </c>
      <c r="H33" s="40" t="s">
        <v>139</v>
      </c>
      <c r="I33" s="40" t="s">
        <v>139</v>
      </c>
      <c r="J33" s="40" t="s">
        <v>139</v>
      </c>
      <c r="K33" s="40" t="s">
        <v>139</v>
      </c>
      <c r="L33" s="40" t="s">
        <v>139</v>
      </c>
      <c r="M33" s="40" t="s">
        <v>139</v>
      </c>
      <c r="N33" s="40" t="s">
        <v>139</v>
      </c>
      <c r="O33" s="40" t="s">
        <v>139</v>
      </c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2"/>
    </row>
    <row r="34" spans="1:32" s="17" customFormat="1" ht="24.75" customHeight="1">
      <c r="A34" s="171" t="s">
        <v>63</v>
      </c>
      <c r="B34" s="173" t="s">
        <v>48</v>
      </c>
      <c r="C34" s="173"/>
      <c r="D34" s="173"/>
      <c r="E34" s="173"/>
      <c r="F34" s="174" t="str">
        <f>GetBugSheetName()</f>
        <v>Page_Load_</v>
      </c>
      <c r="G34" s="175"/>
      <c r="H34" s="60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4"/>
    </row>
    <row r="35" spans="1:32" s="17" customFormat="1" ht="36" customHeight="1" thickBot="1">
      <c r="A35" s="172"/>
      <c r="B35" s="176" t="s">
        <v>49</v>
      </c>
      <c r="C35" s="177"/>
      <c r="D35" s="177"/>
      <c r="E35" s="178"/>
      <c r="F35" s="176"/>
      <c r="G35" s="179"/>
      <c r="H35" s="61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 t="str">
        <f t="shared" ref="S35:AF35" si="1">IF(S34="","",(SUM(LEN(S34)-LEN(SUBSTITUTE(S34,",","")))/LEN(",")) + 1 )</f>
        <v/>
      </c>
      <c r="T35" s="55" t="str">
        <f t="shared" si="1"/>
        <v/>
      </c>
      <c r="U35" s="55" t="str">
        <f t="shared" si="1"/>
        <v/>
      </c>
      <c r="V35" s="55" t="str">
        <f t="shared" si="1"/>
        <v/>
      </c>
      <c r="W35" s="55" t="str">
        <f t="shared" si="1"/>
        <v/>
      </c>
      <c r="X35" s="55" t="str">
        <f t="shared" si="1"/>
        <v/>
      </c>
      <c r="Y35" s="55" t="str">
        <f t="shared" si="1"/>
        <v/>
      </c>
      <c r="Z35" s="55" t="str">
        <f t="shared" si="1"/>
        <v/>
      </c>
      <c r="AA35" s="55" t="str">
        <f t="shared" si="1"/>
        <v/>
      </c>
      <c r="AB35" s="55" t="str">
        <f t="shared" si="1"/>
        <v/>
      </c>
      <c r="AC35" s="55" t="str">
        <f t="shared" si="1"/>
        <v/>
      </c>
      <c r="AD35" s="55" t="str">
        <f t="shared" si="1"/>
        <v/>
      </c>
      <c r="AE35" s="55" t="str">
        <f t="shared" si="1"/>
        <v/>
      </c>
      <c r="AF35" s="56" t="str">
        <f t="shared" si="1"/>
        <v/>
      </c>
    </row>
    <row r="36" spans="1:32" s="17" customFormat="1">
      <c r="H36" s="47"/>
      <c r="I36" s="47"/>
      <c r="J36" s="47"/>
      <c r="K36" s="47"/>
      <c r="L36" s="47"/>
      <c r="M36" s="47"/>
      <c r="N36" s="48"/>
      <c r="O36" s="49"/>
      <c r="P36" s="47"/>
      <c r="Q36" s="47"/>
      <c r="R36" s="47"/>
      <c r="S36" s="47"/>
      <c r="T36" s="47"/>
      <c r="U36" s="47"/>
      <c r="V36" s="47"/>
    </row>
  </sheetData>
  <sheetProtection insertRows="0"/>
  <protectedRanges>
    <protectedRange sqref="B4:G5 B15:G15 B6:B14 B16:B29" name="Range2_1"/>
    <protectedRange sqref="C6:G14" name="Range2_1_3"/>
    <protectedRange sqref="C16:G29" name="Range2_1_4"/>
    <protectedRange sqref="M9:O10 H8:I8 K8:O8 H7 N14 I6:O6 J7:O7 H13:M14 O11:O12 H9:J10 N11 H11:K12 L12" name="Range2_1_5"/>
    <protectedRange sqref="L9" name="Range2_1_1_1"/>
    <protectedRange sqref="H5" name="Range2_1_2_1"/>
    <protectedRange sqref="I5" name="Range2_1_2_1_1"/>
    <protectedRange sqref="J5" name="Range2_1_2_2"/>
    <protectedRange sqref="K5" name="Range2_1_2_3"/>
    <protectedRange sqref="L5" name="Range2_1_2_4"/>
    <protectedRange sqref="M5 L11" name="Range2_1_2_5"/>
    <protectedRange sqref="N5" name="Range2_1_2_6"/>
    <protectedRange sqref="O5:P5" name="Range2_1_2_7"/>
    <protectedRange sqref="H6" name="Range2_1_2_8"/>
    <protectedRange sqref="I7" name="Range2_1_2_9"/>
    <protectedRange sqref="J8" name="Range2_1_2_10"/>
    <protectedRange sqref="H17" name="Range2_1_2_16_1"/>
    <protectedRange sqref="I17" name="Range2_1_2_17_1"/>
    <protectedRange sqref="J18:M18 H19:K19" name="Range2_1_7"/>
    <protectedRange sqref="H18" name="Range2_1_2_18_1"/>
    <protectedRange sqref="I18" name="Range2_1_2_19_1"/>
    <protectedRange sqref="N21 L19:M19" name="Range2_1_2_20_1"/>
    <protectedRange sqref="M21" name="Range2_1_2_21_1"/>
    <protectedRange sqref="L21" name="Range2_1_2_22_1"/>
    <protectedRange sqref="K21" name="Range2_1_2_23_1"/>
    <protectedRange sqref="J21" name="Range2_1_2_24_1"/>
    <protectedRange sqref="I21" name="Range2_1_2_25_1"/>
    <protectedRange sqref="H21 H23" name="Range2_1_2_26_1"/>
    <protectedRange sqref="J25" name="Range2_1_2_28_1"/>
    <protectedRange sqref="K27 N28 O29" name="Range2_1_2_28_2"/>
  </protectedRanges>
  <mergeCells count="50">
    <mergeCell ref="C28:G28"/>
    <mergeCell ref="C29:G29"/>
    <mergeCell ref="C22:G22"/>
    <mergeCell ref="D23:G23"/>
    <mergeCell ref="C24:G24"/>
    <mergeCell ref="D25:G25"/>
    <mergeCell ref="C26:G26"/>
    <mergeCell ref="D27:G27"/>
    <mergeCell ref="C16:G16"/>
    <mergeCell ref="D17:G17"/>
    <mergeCell ref="D18:G18"/>
    <mergeCell ref="D19:G19"/>
    <mergeCell ref="C20:G20"/>
    <mergeCell ref="D21:G21"/>
    <mergeCell ref="D9:G9"/>
    <mergeCell ref="D10:G10"/>
    <mergeCell ref="E12:G12"/>
    <mergeCell ref="D13:G13"/>
    <mergeCell ref="D14:G14"/>
    <mergeCell ref="E11:G11"/>
    <mergeCell ref="B31:F31"/>
    <mergeCell ref="B32:F32"/>
    <mergeCell ref="T1:Z1"/>
    <mergeCell ref="F2:H2"/>
    <mergeCell ref="A34:A35"/>
    <mergeCell ref="B34:E34"/>
    <mergeCell ref="F34:G34"/>
    <mergeCell ref="B35:E35"/>
    <mergeCell ref="F35:G35"/>
    <mergeCell ref="A30:A33"/>
    <mergeCell ref="AA2:AB2"/>
    <mergeCell ref="B30:F30"/>
    <mergeCell ref="B1:E1"/>
    <mergeCell ref="F1:O1"/>
    <mergeCell ref="B2:E2"/>
    <mergeCell ref="I2:O2"/>
    <mergeCell ref="P1:S1"/>
    <mergeCell ref="D6:G6"/>
    <mergeCell ref="D7:G7"/>
    <mergeCell ref="D8:G8"/>
    <mergeCell ref="B33:F33"/>
    <mergeCell ref="A15:A29"/>
    <mergeCell ref="B15:G15"/>
    <mergeCell ref="AA1:AB1"/>
    <mergeCell ref="AC1:AF1"/>
    <mergeCell ref="AC2:AF2"/>
    <mergeCell ref="A4:A14"/>
    <mergeCell ref="B4:G4"/>
    <mergeCell ref="B5:G5"/>
    <mergeCell ref="P2:Z2"/>
  </mergeCells>
  <phoneticPr fontId="4"/>
  <conditionalFormatting sqref="O3:O12 Q3:AF35 P3:P13 H3:K35 N3:N11 L3:M10 L12:M18 N13:N18 L20:N35 I30:M30 O15:P35 I31:O33">
    <cfRule type="expression" dxfId="1371" priority="625" stopIfTrue="1">
      <formula>H$33="NA"</formula>
    </cfRule>
    <cfRule type="expression" dxfId="1370" priority="626" stopIfTrue="1">
      <formula>H$33="NG"</formula>
    </cfRule>
  </conditionalFormatting>
  <conditionalFormatting sqref="O5:O12 H5:K14 N5:N11 L5:M10 L12:M14 N13:N14 M18">
    <cfRule type="expression" dxfId="1369" priority="534" stopIfTrue="1">
      <formula>#REF!="NG"</formula>
    </cfRule>
    <cfRule type="expression" dxfId="1368" priority="535" stopIfTrue="1">
      <formula>H$35="NA"</formula>
    </cfRule>
    <cfRule type="expression" dxfId="1367" priority="536" stopIfTrue="1">
      <formula>H$35="NG"</formula>
    </cfRule>
  </conditionalFormatting>
  <conditionalFormatting sqref="K9:L10">
    <cfRule type="expression" dxfId="1366" priority="532" stopIfTrue="1">
      <formula>K$39="NA"</formula>
    </cfRule>
    <cfRule type="expression" dxfId="1365" priority="533" stopIfTrue="1">
      <formula>K$39="NG"</formula>
    </cfRule>
  </conditionalFormatting>
  <conditionalFormatting sqref="M12">
    <cfRule type="expression" dxfId="1364" priority="530" stopIfTrue="1">
      <formula>M$39="NA"</formula>
    </cfRule>
    <cfRule type="expression" dxfId="1363" priority="531" stopIfTrue="1">
      <formula>M$39="NG"</formula>
    </cfRule>
  </conditionalFormatting>
  <conditionalFormatting sqref="N13">
    <cfRule type="expression" dxfId="1362" priority="528" stopIfTrue="1">
      <formula>N$39="NA"</formula>
    </cfRule>
    <cfRule type="expression" dxfId="1361" priority="529" stopIfTrue="1">
      <formula>N$39="NG"</formula>
    </cfRule>
  </conditionalFormatting>
  <conditionalFormatting sqref="N5">
    <cfRule type="expression" dxfId="1360" priority="526" stopIfTrue="1">
      <formula>N$39="NA"</formula>
    </cfRule>
    <cfRule type="expression" dxfId="1359" priority="527" stopIfTrue="1">
      <formula>N$39="NG"</formula>
    </cfRule>
  </conditionalFormatting>
  <conditionalFormatting sqref="O5">
    <cfRule type="expression" dxfId="1358" priority="524" stopIfTrue="1">
      <formula>O$39="NA"</formula>
    </cfRule>
    <cfRule type="expression" dxfId="1357" priority="525" stopIfTrue="1">
      <formula>O$39="NG"</formula>
    </cfRule>
  </conditionalFormatting>
  <conditionalFormatting sqref="J8">
    <cfRule type="expression" dxfId="1356" priority="522" stopIfTrue="1">
      <formula>J$39="NA"</formula>
    </cfRule>
    <cfRule type="expression" dxfId="1355" priority="523" stopIfTrue="1">
      <formula>J$39="NG"</formula>
    </cfRule>
  </conditionalFormatting>
  <conditionalFormatting sqref="I7">
    <cfRule type="expression" dxfId="1354" priority="520" stopIfTrue="1">
      <formula>I$39="NA"</formula>
    </cfRule>
    <cfRule type="expression" dxfId="1353" priority="521" stopIfTrue="1">
      <formula>I$39="NG"</formula>
    </cfRule>
  </conditionalFormatting>
  <conditionalFormatting sqref="H6">
    <cfRule type="expression" dxfId="1352" priority="518" stopIfTrue="1">
      <formula>H$39="NA"</formula>
    </cfRule>
    <cfRule type="expression" dxfId="1351" priority="519" stopIfTrue="1">
      <formula>H$39="NG"</formula>
    </cfRule>
  </conditionalFormatting>
  <conditionalFormatting sqref="H5">
    <cfRule type="expression" dxfId="1350" priority="516" stopIfTrue="1">
      <formula>H$39="NA"</formula>
    </cfRule>
    <cfRule type="expression" dxfId="1349" priority="517" stopIfTrue="1">
      <formula>H$39="NG"</formula>
    </cfRule>
  </conditionalFormatting>
  <conditionalFormatting sqref="I5">
    <cfRule type="expression" dxfId="1348" priority="514" stopIfTrue="1">
      <formula>I$39="NA"</formula>
    </cfRule>
    <cfRule type="expression" dxfId="1347" priority="515" stopIfTrue="1">
      <formula>I$39="NG"</formula>
    </cfRule>
  </conditionalFormatting>
  <conditionalFormatting sqref="J5">
    <cfRule type="expression" dxfId="1346" priority="512" stopIfTrue="1">
      <formula>J$39="NA"</formula>
    </cfRule>
    <cfRule type="expression" dxfId="1345" priority="513" stopIfTrue="1">
      <formula>J$39="NG"</formula>
    </cfRule>
  </conditionalFormatting>
  <conditionalFormatting sqref="K5:L5">
    <cfRule type="expression" dxfId="1344" priority="510" stopIfTrue="1">
      <formula>K$39="NA"</formula>
    </cfRule>
    <cfRule type="expression" dxfId="1343" priority="511" stopIfTrue="1">
      <formula>K$39="NG"</formula>
    </cfRule>
  </conditionalFormatting>
  <conditionalFormatting sqref="M5">
    <cfRule type="expression" dxfId="1342" priority="508" stopIfTrue="1">
      <formula>M$39="NA"</formula>
    </cfRule>
    <cfRule type="expression" dxfId="1341" priority="509" stopIfTrue="1">
      <formula>M$39="NG"</formula>
    </cfRule>
  </conditionalFormatting>
  <conditionalFormatting sqref="O14">
    <cfRule type="expression" dxfId="1340" priority="506" stopIfTrue="1">
      <formula>O$39="NA"</formula>
    </cfRule>
    <cfRule type="expression" dxfId="1339" priority="507" stopIfTrue="1">
      <formula>O$39="NG"</formula>
    </cfRule>
  </conditionalFormatting>
  <conditionalFormatting sqref="H5">
    <cfRule type="expression" dxfId="1338" priority="503" stopIfTrue="1">
      <formula>#REF!="NG"</formula>
    </cfRule>
    <cfRule type="expression" dxfId="1337" priority="504" stopIfTrue="1">
      <formula>H$35="NA"</formula>
    </cfRule>
    <cfRule type="expression" dxfId="1336" priority="505" stopIfTrue="1">
      <formula>H$35="NG"</formula>
    </cfRule>
  </conditionalFormatting>
  <conditionalFormatting sqref="H5">
    <cfRule type="expression" dxfId="1335" priority="501" stopIfTrue="1">
      <formula>H$39="NA"</formula>
    </cfRule>
    <cfRule type="expression" dxfId="1334" priority="502" stopIfTrue="1">
      <formula>H$39="NG"</formula>
    </cfRule>
  </conditionalFormatting>
  <conditionalFormatting sqref="H5">
    <cfRule type="expression" dxfId="1333" priority="499" stopIfTrue="1">
      <formula>H$39="NA"</formula>
    </cfRule>
    <cfRule type="expression" dxfId="1332" priority="500" stopIfTrue="1">
      <formula>H$39="NG"</formula>
    </cfRule>
  </conditionalFormatting>
  <conditionalFormatting sqref="H5">
    <cfRule type="expression" dxfId="1331" priority="496" stopIfTrue="1">
      <formula>#REF!="NG"</formula>
    </cfRule>
    <cfRule type="expression" dxfId="1330" priority="497" stopIfTrue="1">
      <formula>H$23="NA"</formula>
    </cfRule>
    <cfRule type="expression" dxfId="1329" priority="498" stopIfTrue="1">
      <formula>H$23="NG"</formula>
    </cfRule>
  </conditionalFormatting>
  <conditionalFormatting sqref="O14 N13 M12 H5:H6 I7 J8 K9 L10:L11 I5:P5 H17:I18 L19:M19 H21:N21 H23 J25 K27">
    <cfRule type="expression" dxfId="1328" priority="494" stopIfTrue="1">
      <formula>#REF!="NA"</formula>
    </cfRule>
    <cfRule type="expression" dxfId="1327" priority="495" stopIfTrue="1">
      <formula>#REF!="NG"</formula>
    </cfRule>
  </conditionalFormatting>
  <conditionalFormatting sqref="I5">
    <cfRule type="expression" dxfId="1326" priority="491" stopIfTrue="1">
      <formula>#REF!="NG"</formula>
    </cfRule>
    <cfRule type="expression" dxfId="1325" priority="492" stopIfTrue="1">
      <formula>I$35="NA"</formula>
    </cfRule>
    <cfRule type="expression" dxfId="1324" priority="493" stopIfTrue="1">
      <formula>I$35="NG"</formula>
    </cfRule>
  </conditionalFormatting>
  <conditionalFormatting sqref="I5">
    <cfRule type="expression" dxfId="1323" priority="489" stopIfTrue="1">
      <formula>I$39="NA"</formula>
    </cfRule>
    <cfRule type="expression" dxfId="1322" priority="490" stopIfTrue="1">
      <formula>I$39="NG"</formula>
    </cfRule>
  </conditionalFormatting>
  <conditionalFormatting sqref="I5">
    <cfRule type="expression" dxfId="1321" priority="487" stopIfTrue="1">
      <formula>I$39="NA"</formula>
    </cfRule>
    <cfRule type="expression" dxfId="1320" priority="488" stopIfTrue="1">
      <formula>I$39="NG"</formula>
    </cfRule>
  </conditionalFormatting>
  <conditionalFormatting sqref="I5">
    <cfRule type="expression" dxfId="1319" priority="484" stopIfTrue="1">
      <formula>#REF!="NG"</formula>
    </cfRule>
    <cfRule type="expression" dxfId="1318" priority="485" stopIfTrue="1">
      <formula>I$23="NA"</formula>
    </cfRule>
    <cfRule type="expression" dxfId="1317" priority="486" stopIfTrue="1">
      <formula>I$23="NG"</formula>
    </cfRule>
  </conditionalFormatting>
  <conditionalFormatting sqref="J5">
    <cfRule type="expression" dxfId="1316" priority="479" stopIfTrue="1">
      <formula>#REF!="NG"</formula>
    </cfRule>
    <cfRule type="expression" dxfId="1315" priority="480" stopIfTrue="1">
      <formula>J$35="NA"</formula>
    </cfRule>
    <cfRule type="expression" dxfId="1314" priority="481" stopIfTrue="1">
      <formula>J$35="NG"</formula>
    </cfRule>
  </conditionalFormatting>
  <conditionalFormatting sqref="J5">
    <cfRule type="expression" dxfId="1313" priority="477" stopIfTrue="1">
      <formula>J$39="NA"</formula>
    </cfRule>
    <cfRule type="expression" dxfId="1312" priority="478" stopIfTrue="1">
      <formula>J$39="NG"</formula>
    </cfRule>
  </conditionalFormatting>
  <conditionalFormatting sqref="J5">
    <cfRule type="expression" dxfId="1311" priority="475" stopIfTrue="1">
      <formula>J$39="NA"</formula>
    </cfRule>
    <cfRule type="expression" dxfId="1310" priority="476" stopIfTrue="1">
      <formula>J$39="NG"</formula>
    </cfRule>
  </conditionalFormatting>
  <conditionalFormatting sqref="J5">
    <cfRule type="expression" dxfId="1309" priority="472" stopIfTrue="1">
      <formula>#REF!="NG"</formula>
    </cfRule>
    <cfRule type="expression" dxfId="1308" priority="473" stopIfTrue="1">
      <formula>J$23="NA"</formula>
    </cfRule>
    <cfRule type="expression" dxfId="1307" priority="474" stopIfTrue="1">
      <formula>J$23="NG"</formula>
    </cfRule>
  </conditionalFormatting>
  <conditionalFormatting sqref="K5">
    <cfRule type="expression" dxfId="1306" priority="467" stopIfTrue="1">
      <formula>#REF!="NG"</formula>
    </cfRule>
    <cfRule type="expression" dxfId="1305" priority="468" stopIfTrue="1">
      <formula>K$35="NA"</formula>
    </cfRule>
    <cfRule type="expression" dxfId="1304" priority="469" stopIfTrue="1">
      <formula>K$35="NG"</formula>
    </cfRule>
  </conditionalFormatting>
  <conditionalFormatting sqref="K5">
    <cfRule type="expression" dxfId="1303" priority="465" stopIfTrue="1">
      <formula>K$39="NA"</formula>
    </cfRule>
    <cfRule type="expression" dxfId="1302" priority="466" stopIfTrue="1">
      <formula>K$39="NG"</formula>
    </cfRule>
  </conditionalFormatting>
  <conditionalFormatting sqref="K5">
    <cfRule type="expression" dxfId="1301" priority="463" stopIfTrue="1">
      <formula>K$39="NA"</formula>
    </cfRule>
    <cfRule type="expression" dxfId="1300" priority="464" stopIfTrue="1">
      <formula>K$39="NG"</formula>
    </cfRule>
  </conditionalFormatting>
  <conditionalFormatting sqref="K5">
    <cfRule type="expression" dxfId="1299" priority="460" stopIfTrue="1">
      <formula>#REF!="NG"</formula>
    </cfRule>
    <cfRule type="expression" dxfId="1298" priority="461" stopIfTrue="1">
      <formula>K$23="NA"</formula>
    </cfRule>
    <cfRule type="expression" dxfId="1297" priority="462" stopIfTrue="1">
      <formula>K$23="NG"</formula>
    </cfRule>
  </conditionalFormatting>
  <conditionalFormatting sqref="L5">
    <cfRule type="expression" dxfId="1296" priority="455" stopIfTrue="1">
      <formula>#REF!="NG"</formula>
    </cfRule>
    <cfRule type="expression" dxfId="1295" priority="456" stopIfTrue="1">
      <formula>L$35="NA"</formula>
    </cfRule>
    <cfRule type="expression" dxfId="1294" priority="457" stopIfTrue="1">
      <formula>L$35="NG"</formula>
    </cfRule>
  </conditionalFormatting>
  <conditionalFormatting sqref="L5">
    <cfRule type="expression" dxfId="1293" priority="453" stopIfTrue="1">
      <formula>L$39="NA"</formula>
    </cfRule>
    <cfRule type="expression" dxfId="1292" priority="454" stopIfTrue="1">
      <formula>L$39="NG"</formula>
    </cfRule>
  </conditionalFormatting>
  <conditionalFormatting sqref="L5">
    <cfRule type="expression" dxfId="1291" priority="451" stopIfTrue="1">
      <formula>L$39="NA"</formula>
    </cfRule>
    <cfRule type="expression" dxfId="1290" priority="452" stopIfTrue="1">
      <formula>L$39="NG"</formula>
    </cfRule>
  </conditionalFormatting>
  <conditionalFormatting sqref="L5">
    <cfRule type="expression" dxfId="1289" priority="448" stopIfTrue="1">
      <formula>#REF!="NG"</formula>
    </cfRule>
    <cfRule type="expression" dxfId="1288" priority="449" stopIfTrue="1">
      <formula>L$23="NA"</formula>
    </cfRule>
    <cfRule type="expression" dxfId="1287" priority="450" stopIfTrue="1">
      <formula>L$23="NG"</formula>
    </cfRule>
  </conditionalFormatting>
  <conditionalFormatting sqref="M5">
    <cfRule type="expression" dxfId="1286" priority="443" stopIfTrue="1">
      <formula>#REF!="NG"</formula>
    </cfRule>
    <cfRule type="expression" dxfId="1285" priority="444" stopIfTrue="1">
      <formula>M$35="NA"</formula>
    </cfRule>
    <cfRule type="expression" dxfId="1284" priority="445" stopIfTrue="1">
      <formula>M$35="NG"</formula>
    </cfRule>
  </conditionalFormatting>
  <conditionalFormatting sqref="M5">
    <cfRule type="expression" dxfId="1283" priority="441" stopIfTrue="1">
      <formula>M$39="NA"</formula>
    </cfRule>
    <cfRule type="expression" dxfId="1282" priority="442" stopIfTrue="1">
      <formula>M$39="NG"</formula>
    </cfRule>
  </conditionalFormatting>
  <conditionalFormatting sqref="M5">
    <cfRule type="expression" dxfId="1281" priority="439" stopIfTrue="1">
      <formula>M$39="NA"</formula>
    </cfRule>
    <cfRule type="expression" dxfId="1280" priority="440" stopIfTrue="1">
      <formula>M$39="NG"</formula>
    </cfRule>
  </conditionalFormatting>
  <conditionalFormatting sqref="M5">
    <cfRule type="expression" dxfId="1279" priority="436" stopIfTrue="1">
      <formula>#REF!="NG"</formula>
    </cfRule>
    <cfRule type="expression" dxfId="1278" priority="437" stopIfTrue="1">
      <formula>M$23="NA"</formula>
    </cfRule>
    <cfRule type="expression" dxfId="1277" priority="438" stopIfTrue="1">
      <formula>M$23="NG"</formula>
    </cfRule>
  </conditionalFormatting>
  <conditionalFormatting sqref="N5">
    <cfRule type="expression" dxfId="1276" priority="431" stopIfTrue="1">
      <formula>#REF!="NG"</formula>
    </cfRule>
    <cfRule type="expression" dxfId="1275" priority="432" stopIfTrue="1">
      <formula>N$35="NA"</formula>
    </cfRule>
    <cfRule type="expression" dxfId="1274" priority="433" stopIfTrue="1">
      <formula>N$35="NG"</formula>
    </cfRule>
  </conditionalFormatting>
  <conditionalFormatting sqref="N5">
    <cfRule type="expression" dxfId="1273" priority="429" stopIfTrue="1">
      <formula>N$39="NA"</formula>
    </cfRule>
    <cfRule type="expression" dxfId="1272" priority="430" stopIfTrue="1">
      <formula>N$39="NG"</formula>
    </cfRule>
  </conditionalFormatting>
  <conditionalFormatting sqref="N5">
    <cfRule type="expression" dxfId="1271" priority="427" stopIfTrue="1">
      <formula>N$39="NA"</formula>
    </cfRule>
    <cfRule type="expression" dxfId="1270" priority="428" stopIfTrue="1">
      <formula>N$39="NG"</formula>
    </cfRule>
  </conditionalFormatting>
  <conditionalFormatting sqref="N5">
    <cfRule type="expression" dxfId="1269" priority="424" stopIfTrue="1">
      <formula>#REF!="NG"</formula>
    </cfRule>
    <cfRule type="expression" dxfId="1268" priority="425" stopIfTrue="1">
      <formula>N$23="NA"</formula>
    </cfRule>
    <cfRule type="expression" dxfId="1267" priority="426" stopIfTrue="1">
      <formula>N$23="NG"</formula>
    </cfRule>
  </conditionalFormatting>
  <conditionalFormatting sqref="O5">
    <cfRule type="expression" dxfId="1266" priority="419" stopIfTrue="1">
      <formula>#REF!="NG"</formula>
    </cfRule>
    <cfRule type="expression" dxfId="1265" priority="420" stopIfTrue="1">
      <formula>O$35="NA"</formula>
    </cfRule>
    <cfRule type="expression" dxfId="1264" priority="421" stopIfTrue="1">
      <formula>O$35="NG"</formula>
    </cfRule>
  </conditionalFormatting>
  <conditionalFormatting sqref="O5">
    <cfRule type="expression" dxfId="1263" priority="417" stopIfTrue="1">
      <formula>O$39="NA"</formula>
    </cfRule>
    <cfRule type="expression" dxfId="1262" priority="418" stopIfTrue="1">
      <formula>O$39="NG"</formula>
    </cfRule>
  </conditionalFormatting>
  <conditionalFormatting sqref="O5">
    <cfRule type="expression" dxfId="1261" priority="415" stopIfTrue="1">
      <formula>O$39="NA"</formula>
    </cfRule>
    <cfRule type="expression" dxfId="1260" priority="416" stopIfTrue="1">
      <formula>O$39="NG"</formula>
    </cfRule>
  </conditionalFormatting>
  <conditionalFormatting sqref="O5">
    <cfRule type="expression" dxfId="1259" priority="412" stopIfTrue="1">
      <formula>#REF!="NG"</formula>
    </cfRule>
    <cfRule type="expression" dxfId="1258" priority="413" stopIfTrue="1">
      <formula>O$23="NA"</formula>
    </cfRule>
    <cfRule type="expression" dxfId="1257" priority="414" stopIfTrue="1">
      <formula>O$23="NG"</formula>
    </cfRule>
  </conditionalFormatting>
  <conditionalFormatting sqref="H6">
    <cfRule type="expression" dxfId="1256" priority="407" stopIfTrue="1">
      <formula>#REF!="NG"</formula>
    </cfRule>
    <cfRule type="expression" dxfId="1255" priority="408" stopIfTrue="1">
      <formula>H$35="NA"</formula>
    </cfRule>
    <cfRule type="expression" dxfId="1254" priority="409" stopIfTrue="1">
      <formula>H$35="NG"</formula>
    </cfRule>
  </conditionalFormatting>
  <conditionalFormatting sqref="H6">
    <cfRule type="expression" dxfId="1253" priority="405" stopIfTrue="1">
      <formula>H$39="NA"</formula>
    </cfRule>
    <cfRule type="expression" dxfId="1252" priority="406" stopIfTrue="1">
      <formula>H$39="NG"</formula>
    </cfRule>
  </conditionalFormatting>
  <conditionalFormatting sqref="H6">
    <cfRule type="expression" dxfId="1251" priority="403" stopIfTrue="1">
      <formula>H$39="NA"</formula>
    </cfRule>
    <cfRule type="expression" dxfId="1250" priority="404" stopIfTrue="1">
      <formula>H$39="NG"</formula>
    </cfRule>
  </conditionalFormatting>
  <conditionalFormatting sqref="H6">
    <cfRule type="expression" dxfId="1249" priority="400" stopIfTrue="1">
      <formula>#REF!="NG"</formula>
    </cfRule>
    <cfRule type="expression" dxfId="1248" priority="401" stopIfTrue="1">
      <formula>H$23="NA"</formula>
    </cfRule>
    <cfRule type="expression" dxfId="1247" priority="402" stopIfTrue="1">
      <formula>H$23="NG"</formula>
    </cfRule>
  </conditionalFormatting>
  <conditionalFormatting sqref="I7">
    <cfRule type="expression" dxfId="1246" priority="395" stopIfTrue="1">
      <formula>#REF!="NG"</formula>
    </cfRule>
    <cfRule type="expression" dxfId="1245" priority="396" stopIfTrue="1">
      <formula>I$35="NA"</formula>
    </cfRule>
    <cfRule type="expression" dxfId="1244" priority="397" stopIfTrue="1">
      <formula>I$35="NG"</formula>
    </cfRule>
  </conditionalFormatting>
  <conditionalFormatting sqref="I7">
    <cfRule type="expression" dxfId="1243" priority="393" stopIfTrue="1">
      <formula>I$39="NA"</formula>
    </cfRule>
    <cfRule type="expression" dxfId="1242" priority="394" stopIfTrue="1">
      <formula>I$39="NG"</formula>
    </cfRule>
  </conditionalFormatting>
  <conditionalFormatting sqref="I7">
    <cfRule type="expression" dxfId="1241" priority="391" stopIfTrue="1">
      <formula>I$39="NA"</formula>
    </cfRule>
    <cfRule type="expression" dxfId="1240" priority="392" stopIfTrue="1">
      <formula>I$39="NG"</formula>
    </cfRule>
  </conditionalFormatting>
  <conditionalFormatting sqref="I7">
    <cfRule type="expression" dxfId="1239" priority="388" stopIfTrue="1">
      <formula>#REF!="NG"</formula>
    </cfRule>
    <cfRule type="expression" dxfId="1238" priority="389" stopIfTrue="1">
      <formula>I$23="NA"</formula>
    </cfRule>
    <cfRule type="expression" dxfId="1237" priority="390" stopIfTrue="1">
      <formula>I$23="NG"</formula>
    </cfRule>
  </conditionalFormatting>
  <conditionalFormatting sqref="J8">
    <cfRule type="expression" dxfId="1236" priority="383" stopIfTrue="1">
      <formula>#REF!="NG"</formula>
    </cfRule>
    <cfRule type="expression" dxfId="1235" priority="384" stopIfTrue="1">
      <formula>J$35="NA"</formula>
    </cfRule>
    <cfRule type="expression" dxfId="1234" priority="385" stopIfTrue="1">
      <formula>J$35="NG"</formula>
    </cfRule>
  </conditionalFormatting>
  <conditionalFormatting sqref="J8">
    <cfRule type="expression" dxfId="1233" priority="381" stopIfTrue="1">
      <formula>J$39="NA"</formula>
    </cfRule>
    <cfRule type="expression" dxfId="1232" priority="382" stopIfTrue="1">
      <formula>J$39="NG"</formula>
    </cfRule>
  </conditionalFormatting>
  <conditionalFormatting sqref="J8">
    <cfRule type="expression" dxfId="1231" priority="379" stopIfTrue="1">
      <formula>J$39="NA"</formula>
    </cfRule>
    <cfRule type="expression" dxfId="1230" priority="380" stopIfTrue="1">
      <formula>J$39="NG"</formula>
    </cfRule>
  </conditionalFormatting>
  <conditionalFormatting sqref="J8">
    <cfRule type="expression" dxfId="1229" priority="376" stopIfTrue="1">
      <formula>#REF!="NG"</formula>
    </cfRule>
    <cfRule type="expression" dxfId="1228" priority="377" stopIfTrue="1">
      <formula>J$23="NA"</formula>
    </cfRule>
    <cfRule type="expression" dxfId="1227" priority="378" stopIfTrue="1">
      <formula>J$23="NG"</formula>
    </cfRule>
  </conditionalFormatting>
  <conditionalFormatting sqref="K9">
    <cfRule type="expression" dxfId="1226" priority="371" stopIfTrue="1">
      <formula>#REF!="NG"</formula>
    </cfRule>
    <cfRule type="expression" dxfId="1225" priority="372" stopIfTrue="1">
      <formula>K$35="NA"</formula>
    </cfRule>
    <cfRule type="expression" dxfId="1224" priority="373" stopIfTrue="1">
      <formula>K$35="NG"</formula>
    </cfRule>
  </conditionalFormatting>
  <conditionalFormatting sqref="K9">
    <cfRule type="expression" dxfId="1223" priority="369" stopIfTrue="1">
      <formula>K$39="NA"</formula>
    </cfRule>
    <cfRule type="expression" dxfId="1222" priority="370" stopIfTrue="1">
      <formula>K$39="NG"</formula>
    </cfRule>
  </conditionalFormatting>
  <conditionalFormatting sqref="K9">
    <cfRule type="expression" dxfId="1221" priority="367" stopIfTrue="1">
      <formula>K$39="NA"</formula>
    </cfRule>
    <cfRule type="expression" dxfId="1220" priority="368" stopIfTrue="1">
      <formula>K$39="NG"</formula>
    </cfRule>
  </conditionalFormatting>
  <conditionalFormatting sqref="K9">
    <cfRule type="expression" dxfId="1219" priority="364" stopIfTrue="1">
      <formula>#REF!="NG"</formula>
    </cfRule>
    <cfRule type="expression" dxfId="1218" priority="365" stopIfTrue="1">
      <formula>K$23="NA"</formula>
    </cfRule>
    <cfRule type="expression" dxfId="1217" priority="366" stopIfTrue="1">
      <formula>K$23="NG"</formula>
    </cfRule>
  </conditionalFormatting>
  <conditionalFormatting sqref="L10">
    <cfRule type="expression" dxfId="1216" priority="359" stopIfTrue="1">
      <formula>#REF!="NG"</formula>
    </cfRule>
    <cfRule type="expression" dxfId="1215" priority="360" stopIfTrue="1">
      <formula>L$35="NA"</formula>
    </cfRule>
    <cfRule type="expression" dxfId="1214" priority="361" stopIfTrue="1">
      <formula>L$35="NG"</formula>
    </cfRule>
  </conditionalFormatting>
  <conditionalFormatting sqref="L10">
    <cfRule type="expression" dxfId="1213" priority="357" stopIfTrue="1">
      <formula>L$39="NA"</formula>
    </cfRule>
    <cfRule type="expression" dxfId="1212" priority="358" stopIfTrue="1">
      <formula>L$39="NG"</formula>
    </cfRule>
  </conditionalFormatting>
  <conditionalFormatting sqref="L10">
    <cfRule type="expression" dxfId="1211" priority="355" stopIfTrue="1">
      <formula>L$39="NA"</formula>
    </cfRule>
    <cfRule type="expression" dxfId="1210" priority="356" stopIfTrue="1">
      <formula>L$39="NG"</formula>
    </cfRule>
  </conditionalFormatting>
  <conditionalFormatting sqref="L10">
    <cfRule type="expression" dxfId="1209" priority="352" stopIfTrue="1">
      <formula>#REF!="NG"</formula>
    </cfRule>
    <cfRule type="expression" dxfId="1208" priority="353" stopIfTrue="1">
      <formula>L$23="NA"</formula>
    </cfRule>
    <cfRule type="expression" dxfId="1207" priority="354" stopIfTrue="1">
      <formula>L$23="NG"</formula>
    </cfRule>
  </conditionalFormatting>
  <conditionalFormatting sqref="N13">
    <cfRule type="expression" dxfId="1206" priority="347" stopIfTrue="1">
      <formula>#REF!="NG"</formula>
    </cfRule>
    <cfRule type="expression" dxfId="1205" priority="348" stopIfTrue="1">
      <formula>N$35="NA"</formula>
    </cfRule>
    <cfRule type="expression" dxfId="1204" priority="349" stopIfTrue="1">
      <formula>N$35="NG"</formula>
    </cfRule>
  </conditionalFormatting>
  <conditionalFormatting sqref="N13">
    <cfRule type="expression" dxfId="1203" priority="345" stopIfTrue="1">
      <formula>N$39="NA"</formula>
    </cfRule>
    <cfRule type="expression" dxfId="1202" priority="346" stopIfTrue="1">
      <formula>N$39="NG"</formula>
    </cfRule>
  </conditionalFormatting>
  <conditionalFormatting sqref="N13">
    <cfRule type="expression" dxfId="1201" priority="343" stopIfTrue="1">
      <formula>N$39="NA"</formula>
    </cfRule>
    <cfRule type="expression" dxfId="1200" priority="344" stopIfTrue="1">
      <formula>N$39="NG"</formula>
    </cfRule>
  </conditionalFormatting>
  <conditionalFormatting sqref="N13">
    <cfRule type="expression" dxfId="1199" priority="340" stopIfTrue="1">
      <formula>#REF!="NG"</formula>
    </cfRule>
    <cfRule type="expression" dxfId="1198" priority="341" stopIfTrue="1">
      <formula>N$23="NA"</formula>
    </cfRule>
    <cfRule type="expression" dxfId="1197" priority="342" stopIfTrue="1">
      <formula>N$23="NG"</formula>
    </cfRule>
  </conditionalFormatting>
  <conditionalFormatting sqref="M12">
    <cfRule type="expression" dxfId="1196" priority="335" stopIfTrue="1">
      <formula>#REF!="NG"</formula>
    </cfRule>
    <cfRule type="expression" dxfId="1195" priority="336" stopIfTrue="1">
      <formula>M$35="NA"</formula>
    </cfRule>
    <cfRule type="expression" dxfId="1194" priority="337" stopIfTrue="1">
      <formula>M$35="NG"</formula>
    </cfRule>
  </conditionalFormatting>
  <conditionalFormatting sqref="M12">
    <cfRule type="expression" dxfId="1193" priority="333" stopIfTrue="1">
      <formula>M$39="NA"</formula>
    </cfRule>
    <cfRule type="expression" dxfId="1192" priority="334" stopIfTrue="1">
      <formula>M$39="NG"</formula>
    </cfRule>
  </conditionalFormatting>
  <conditionalFormatting sqref="M12">
    <cfRule type="expression" dxfId="1191" priority="331" stopIfTrue="1">
      <formula>M$39="NA"</formula>
    </cfRule>
    <cfRule type="expression" dxfId="1190" priority="332" stopIfTrue="1">
      <formula>M$39="NG"</formula>
    </cfRule>
  </conditionalFormatting>
  <conditionalFormatting sqref="M12">
    <cfRule type="expression" dxfId="1189" priority="328" stopIfTrue="1">
      <formula>#REF!="NG"</formula>
    </cfRule>
    <cfRule type="expression" dxfId="1188" priority="329" stopIfTrue="1">
      <formula>M$23="NA"</formula>
    </cfRule>
    <cfRule type="expression" dxfId="1187" priority="330" stopIfTrue="1">
      <formula>M$23="NG"</formula>
    </cfRule>
  </conditionalFormatting>
  <conditionalFormatting sqref="O14">
    <cfRule type="expression" dxfId="1186" priority="323" stopIfTrue="1">
      <formula>#REF!="NG"</formula>
    </cfRule>
    <cfRule type="expression" dxfId="1185" priority="324" stopIfTrue="1">
      <formula>O$35="NA"</formula>
    </cfRule>
    <cfRule type="expression" dxfId="1184" priority="325" stopIfTrue="1">
      <formula>O$35="NG"</formula>
    </cfRule>
  </conditionalFormatting>
  <conditionalFormatting sqref="O14">
    <cfRule type="expression" dxfId="1183" priority="321" stopIfTrue="1">
      <formula>O$39="NA"</formula>
    </cfRule>
    <cfRule type="expression" dxfId="1182" priority="322" stopIfTrue="1">
      <formula>O$39="NG"</formula>
    </cfRule>
  </conditionalFormatting>
  <conditionalFormatting sqref="O14">
    <cfRule type="expression" dxfId="1181" priority="319" stopIfTrue="1">
      <formula>O$39="NA"</formula>
    </cfRule>
    <cfRule type="expression" dxfId="1180" priority="320" stopIfTrue="1">
      <formula>O$39="NG"</formula>
    </cfRule>
  </conditionalFormatting>
  <conditionalFormatting sqref="O14">
    <cfRule type="expression" dxfId="1179" priority="316" stopIfTrue="1">
      <formula>#REF!="NG"</formula>
    </cfRule>
    <cfRule type="expression" dxfId="1178" priority="317" stopIfTrue="1">
      <formula>O$23="NA"</formula>
    </cfRule>
    <cfRule type="expression" dxfId="1177" priority="318" stopIfTrue="1">
      <formula>O$23="NG"</formula>
    </cfRule>
  </conditionalFormatting>
  <conditionalFormatting sqref="L11">
    <cfRule type="expression" dxfId="1176" priority="312" stopIfTrue="1">
      <formula>M$39="NA"</formula>
    </cfRule>
    <cfRule type="expression" dxfId="1175" priority="313" stopIfTrue="1">
      <formula>M$39="NG"</formula>
    </cfRule>
  </conditionalFormatting>
  <conditionalFormatting sqref="L11">
    <cfRule type="expression" dxfId="1174" priority="309" stopIfTrue="1">
      <formula>#REF!="NG"</formula>
    </cfRule>
    <cfRule type="expression" dxfId="1173" priority="310" stopIfTrue="1">
      <formula>M$35="NA"</formula>
    </cfRule>
    <cfRule type="expression" dxfId="1172" priority="311" stopIfTrue="1">
      <formula>M$35="NG"</formula>
    </cfRule>
  </conditionalFormatting>
  <conditionalFormatting sqref="L11">
    <cfRule type="expression" dxfId="1171" priority="307" stopIfTrue="1">
      <formula>M$39="NA"</formula>
    </cfRule>
    <cfRule type="expression" dxfId="1170" priority="308" stopIfTrue="1">
      <formula>M$39="NG"</formula>
    </cfRule>
  </conditionalFormatting>
  <conditionalFormatting sqref="L11">
    <cfRule type="expression" dxfId="1169" priority="305" stopIfTrue="1">
      <formula>M$39="NA"</formula>
    </cfRule>
    <cfRule type="expression" dxfId="1168" priority="306" stopIfTrue="1">
      <formula>M$39="NG"</formula>
    </cfRule>
  </conditionalFormatting>
  <conditionalFormatting sqref="L11">
    <cfRule type="expression" dxfId="1167" priority="302" stopIfTrue="1">
      <formula>#REF!="NG"</formula>
    </cfRule>
    <cfRule type="expression" dxfId="1166" priority="303" stopIfTrue="1">
      <formula>M$23="NA"</formula>
    </cfRule>
    <cfRule type="expression" dxfId="1165" priority="304" stopIfTrue="1">
      <formula>M$23="NG"</formula>
    </cfRule>
  </conditionalFormatting>
  <conditionalFormatting sqref="O14">
    <cfRule type="expression" dxfId="1164" priority="629" stopIfTrue="1">
      <formula>O$33="NA"</formula>
    </cfRule>
    <cfRule type="expression" dxfId="1163" priority="630" stopIfTrue="1">
      <formula>O$33="NG"</formula>
    </cfRule>
  </conditionalFormatting>
  <conditionalFormatting sqref="O14">
    <cfRule type="expression" dxfId="1162" priority="634" stopIfTrue="1">
      <formula>#REF!="NG"</formula>
    </cfRule>
    <cfRule type="expression" dxfId="1161" priority="635" stopIfTrue="1">
      <formula>O$35="NA"</formula>
    </cfRule>
    <cfRule type="expression" dxfId="1160" priority="636" stopIfTrue="1">
      <formula>O$35="NG"</formula>
    </cfRule>
  </conditionalFormatting>
  <conditionalFormatting sqref="P5">
    <cfRule type="expression" dxfId="1159" priority="297" stopIfTrue="1">
      <formula>#REF!="NG"</formula>
    </cfRule>
    <cfRule type="expression" dxfId="1158" priority="298" stopIfTrue="1">
      <formula>P$35="NA"</formula>
    </cfRule>
    <cfRule type="expression" dxfId="1157" priority="299" stopIfTrue="1">
      <formula>P$35="NG"</formula>
    </cfRule>
  </conditionalFormatting>
  <conditionalFormatting sqref="P5">
    <cfRule type="expression" dxfId="1156" priority="295" stopIfTrue="1">
      <formula>P$39="NA"</formula>
    </cfRule>
    <cfRule type="expression" dxfId="1155" priority="296" stopIfTrue="1">
      <formula>P$39="NG"</formula>
    </cfRule>
  </conditionalFormatting>
  <conditionalFormatting sqref="P5">
    <cfRule type="expression" dxfId="1154" priority="290" stopIfTrue="1">
      <formula>#REF!="NG"</formula>
    </cfRule>
    <cfRule type="expression" dxfId="1153" priority="291" stopIfTrue="1">
      <formula>P$35="NA"</formula>
    </cfRule>
    <cfRule type="expression" dxfId="1152" priority="292" stopIfTrue="1">
      <formula>P$35="NG"</formula>
    </cfRule>
  </conditionalFormatting>
  <conditionalFormatting sqref="P5">
    <cfRule type="expression" dxfId="1151" priority="288" stopIfTrue="1">
      <formula>P$39="NA"</formula>
    </cfRule>
    <cfRule type="expression" dxfId="1150" priority="289" stopIfTrue="1">
      <formula>P$39="NG"</formula>
    </cfRule>
  </conditionalFormatting>
  <conditionalFormatting sqref="P5">
    <cfRule type="expression" dxfId="1149" priority="286" stopIfTrue="1">
      <formula>P$39="NA"</formula>
    </cfRule>
    <cfRule type="expression" dxfId="1148" priority="287" stopIfTrue="1">
      <formula>P$39="NG"</formula>
    </cfRule>
  </conditionalFormatting>
  <conditionalFormatting sqref="P5">
    <cfRule type="expression" dxfId="1147" priority="283" stopIfTrue="1">
      <formula>#REF!="NG"</formula>
    </cfRule>
    <cfRule type="expression" dxfId="1146" priority="284" stopIfTrue="1">
      <formula>P$23="NA"</formula>
    </cfRule>
    <cfRule type="expression" dxfId="1145" priority="285" stopIfTrue="1">
      <formula>P$23="NG"</formula>
    </cfRule>
  </conditionalFormatting>
  <conditionalFormatting sqref="H17:I17">
    <cfRule type="expression" dxfId="1144" priority="280" stopIfTrue="1">
      <formula>#REF!="NG"</formula>
    </cfRule>
    <cfRule type="expression" dxfId="1143" priority="281" stopIfTrue="1">
      <formula>H$35="NA"</formula>
    </cfRule>
    <cfRule type="expression" dxfId="1142" priority="282" stopIfTrue="1">
      <formula>H$35="NG"</formula>
    </cfRule>
  </conditionalFormatting>
  <conditionalFormatting sqref="H17">
    <cfRule type="expression" dxfId="1141" priority="278" stopIfTrue="1">
      <formula>H$39="NA"</formula>
    </cfRule>
    <cfRule type="expression" dxfId="1140" priority="279" stopIfTrue="1">
      <formula>H$39="NG"</formula>
    </cfRule>
  </conditionalFormatting>
  <conditionalFormatting sqref="I17">
    <cfRule type="expression" dxfId="1139" priority="276" stopIfTrue="1">
      <formula>I$39="NA"</formula>
    </cfRule>
    <cfRule type="expression" dxfId="1138" priority="277" stopIfTrue="1">
      <formula>I$39="NG"</formula>
    </cfRule>
  </conditionalFormatting>
  <conditionalFormatting sqref="H17">
    <cfRule type="expression" dxfId="1137" priority="273" stopIfTrue="1">
      <formula>#REF!="NG"</formula>
    </cfRule>
    <cfRule type="expression" dxfId="1136" priority="274" stopIfTrue="1">
      <formula>H$35="NA"</formula>
    </cfRule>
    <cfRule type="expression" dxfId="1135" priority="275" stopIfTrue="1">
      <formula>H$35="NG"</formula>
    </cfRule>
  </conditionalFormatting>
  <conditionalFormatting sqref="H17">
    <cfRule type="expression" dxfId="1134" priority="271" stopIfTrue="1">
      <formula>H$39="NA"</formula>
    </cfRule>
    <cfRule type="expression" dxfId="1133" priority="272" stopIfTrue="1">
      <formula>H$39="NG"</formula>
    </cfRule>
  </conditionalFormatting>
  <conditionalFormatting sqref="H17">
    <cfRule type="expression" dxfId="1132" priority="269" stopIfTrue="1">
      <formula>H$39="NA"</formula>
    </cfRule>
    <cfRule type="expression" dxfId="1131" priority="270" stopIfTrue="1">
      <formula>H$39="NG"</formula>
    </cfRule>
  </conditionalFormatting>
  <conditionalFormatting sqref="H17">
    <cfRule type="expression" dxfId="1130" priority="266" stopIfTrue="1">
      <formula>#REF!="NG"</formula>
    </cfRule>
    <cfRule type="expression" dxfId="1129" priority="267" stopIfTrue="1">
      <formula>H$23="NA"</formula>
    </cfRule>
    <cfRule type="expression" dxfId="1128" priority="268" stopIfTrue="1">
      <formula>H$23="NG"</formula>
    </cfRule>
  </conditionalFormatting>
  <conditionalFormatting sqref="I17">
    <cfRule type="expression" dxfId="1127" priority="261" stopIfTrue="1">
      <formula>#REF!="NG"</formula>
    </cfRule>
    <cfRule type="expression" dxfId="1126" priority="262" stopIfTrue="1">
      <formula>I$35="NA"</formula>
    </cfRule>
    <cfRule type="expression" dxfId="1125" priority="263" stopIfTrue="1">
      <formula>I$35="NG"</formula>
    </cfRule>
  </conditionalFormatting>
  <conditionalFormatting sqref="I17">
    <cfRule type="expression" dxfId="1124" priority="259" stopIfTrue="1">
      <formula>I$39="NA"</formula>
    </cfRule>
    <cfRule type="expression" dxfId="1123" priority="260" stopIfTrue="1">
      <formula>I$39="NG"</formula>
    </cfRule>
  </conditionalFormatting>
  <conditionalFormatting sqref="I17">
    <cfRule type="expression" dxfId="1122" priority="257" stopIfTrue="1">
      <formula>I$39="NA"</formula>
    </cfRule>
    <cfRule type="expression" dxfId="1121" priority="258" stopIfTrue="1">
      <formula>I$39="NG"</formula>
    </cfRule>
  </conditionalFormatting>
  <conditionalFormatting sqref="I17">
    <cfRule type="expression" dxfId="1120" priority="254" stopIfTrue="1">
      <formula>#REF!="NG"</formula>
    </cfRule>
    <cfRule type="expression" dxfId="1119" priority="255" stopIfTrue="1">
      <formula>I$23="NA"</formula>
    </cfRule>
    <cfRule type="expression" dxfId="1118" priority="256" stopIfTrue="1">
      <formula>I$23="NG"</formula>
    </cfRule>
  </conditionalFormatting>
  <conditionalFormatting sqref="H18:K19 L18">
    <cfRule type="expression" dxfId="1117" priority="249" stopIfTrue="1">
      <formula>#REF!="NG"</formula>
    </cfRule>
    <cfRule type="expression" dxfId="1116" priority="250" stopIfTrue="1">
      <formula>H$35="NA"</formula>
    </cfRule>
    <cfRule type="expression" dxfId="1115" priority="251" stopIfTrue="1">
      <formula>H$35="NG"</formula>
    </cfRule>
  </conditionalFormatting>
  <conditionalFormatting sqref="L19">
    <cfRule type="expression" dxfId="1114" priority="247" stopIfTrue="1">
      <formula>M$39="NA"</formula>
    </cfRule>
    <cfRule type="expression" dxfId="1113" priority="248" stopIfTrue="1">
      <formula>M$39="NG"</formula>
    </cfRule>
  </conditionalFormatting>
  <conditionalFormatting sqref="H18">
    <cfRule type="expression" dxfId="1112" priority="245" stopIfTrue="1">
      <formula>H$39="NA"</formula>
    </cfRule>
    <cfRule type="expression" dxfId="1111" priority="246" stopIfTrue="1">
      <formula>H$39="NG"</formula>
    </cfRule>
  </conditionalFormatting>
  <conditionalFormatting sqref="I18">
    <cfRule type="expression" dxfId="1110" priority="243" stopIfTrue="1">
      <formula>I$39="NA"</formula>
    </cfRule>
    <cfRule type="expression" dxfId="1109" priority="244" stopIfTrue="1">
      <formula>I$39="NG"</formula>
    </cfRule>
  </conditionalFormatting>
  <conditionalFormatting sqref="H18">
    <cfRule type="expression" dxfId="1108" priority="240" stopIfTrue="1">
      <formula>#REF!="NG"</formula>
    </cfRule>
    <cfRule type="expression" dxfId="1107" priority="241" stopIfTrue="1">
      <formula>H$35="NA"</formula>
    </cfRule>
    <cfRule type="expression" dxfId="1106" priority="242" stopIfTrue="1">
      <formula>H$35="NG"</formula>
    </cfRule>
  </conditionalFormatting>
  <conditionalFormatting sqref="H18">
    <cfRule type="expression" dxfId="1105" priority="238" stopIfTrue="1">
      <formula>H$39="NA"</formula>
    </cfRule>
    <cfRule type="expression" dxfId="1104" priority="239" stopIfTrue="1">
      <formula>H$39="NG"</formula>
    </cfRule>
  </conditionalFormatting>
  <conditionalFormatting sqref="H18">
    <cfRule type="expression" dxfId="1103" priority="236" stopIfTrue="1">
      <formula>H$39="NA"</formula>
    </cfRule>
    <cfRule type="expression" dxfId="1102" priority="237" stopIfTrue="1">
      <formula>H$39="NG"</formula>
    </cfRule>
  </conditionalFormatting>
  <conditionalFormatting sqref="H18">
    <cfRule type="expression" dxfId="1101" priority="233" stopIfTrue="1">
      <formula>#REF!="NG"</formula>
    </cfRule>
    <cfRule type="expression" dxfId="1100" priority="234" stopIfTrue="1">
      <formula>H$23="NA"</formula>
    </cfRule>
    <cfRule type="expression" dxfId="1099" priority="235" stopIfTrue="1">
      <formula>H$23="NG"</formula>
    </cfRule>
  </conditionalFormatting>
  <conditionalFormatting sqref="I18">
    <cfRule type="expression" dxfId="1098" priority="228" stopIfTrue="1">
      <formula>#REF!="NG"</formula>
    </cfRule>
    <cfRule type="expression" dxfId="1097" priority="229" stopIfTrue="1">
      <formula>I$35="NA"</formula>
    </cfRule>
    <cfRule type="expression" dxfId="1096" priority="230" stopIfTrue="1">
      <formula>I$35="NG"</formula>
    </cfRule>
  </conditionalFormatting>
  <conditionalFormatting sqref="I18">
    <cfRule type="expression" dxfId="1095" priority="226" stopIfTrue="1">
      <formula>I$39="NA"</formula>
    </cfRule>
    <cfRule type="expression" dxfId="1094" priority="227" stopIfTrue="1">
      <formula>I$39="NG"</formula>
    </cfRule>
  </conditionalFormatting>
  <conditionalFormatting sqref="I18">
    <cfRule type="expression" dxfId="1093" priority="224" stopIfTrue="1">
      <formula>I$39="NA"</formula>
    </cfRule>
    <cfRule type="expression" dxfId="1092" priority="225" stopIfTrue="1">
      <formula>I$39="NG"</formula>
    </cfRule>
  </conditionalFormatting>
  <conditionalFormatting sqref="I18">
    <cfRule type="expression" dxfId="1091" priority="221" stopIfTrue="1">
      <formula>#REF!="NG"</formula>
    </cfRule>
    <cfRule type="expression" dxfId="1090" priority="222" stopIfTrue="1">
      <formula>I$23="NA"</formula>
    </cfRule>
    <cfRule type="expression" dxfId="1089" priority="223" stopIfTrue="1">
      <formula>I$23="NG"</formula>
    </cfRule>
  </conditionalFormatting>
  <conditionalFormatting sqref="L19">
    <cfRule type="expression" dxfId="1088" priority="216" stopIfTrue="1">
      <formula>#REF!="NG"</formula>
    </cfRule>
    <cfRule type="expression" dxfId="1087" priority="217" stopIfTrue="1">
      <formula>M$35="NA"</formula>
    </cfRule>
    <cfRule type="expression" dxfId="1086" priority="218" stopIfTrue="1">
      <formula>M$35="NG"</formula>
    </cfRule>
  </conditionalFormatting>
  <conditionalFormatting sqref="L19">
    <cfRule type="expression" dxfId="1085" priority="214" stopIfTrue="1">
      <formula>M$39="NA"</formula>
    </cfRule>
    <cfRule type="expression" dxfId="1084" priority="215" stopIfTrue="1">
      <formula>M$39="NG"</formula>
    </cfRule>
  </conditionalFormatting>
  <conditionalFormatting sqref="L19">
    <cfRule type="expression" dxfId="1083" priority="212" stopIfTrue="1">
      <formula>M$39="NA"</formula>
    </cfRule>
    <cfRule type="expression" dxfId="1082" priority="213" stopIfTrue="1">
      <formula>M$39="NG"</formula>
    </cfRule>
  </conditionalFormatting>
  <conditionalFormatting sqref="L19">
    <cfRule type="expression" dxfId="1081" priority="209" stopIfTrue="1">
      <formula>#REF!="NG"</formula>
    </cfRule>
    <cfRule type="expression" dxfId="1080" priority="210" stopIfTrue="1">
      <formula>M$23="NA"</formula>
    </cfRule>
    <cfRule type="expression" dxfId="1079" priority="211" stopIfTrue="1">
      <formula>M$23="NG"</formula>
    </cfRule>
  </conditionalFormatting>
  <conditionalFormatting sqref="M19">
    <cfRule type="expression" dxfId="1078" priority="204" stopIfTrue="1">
      <formula>#REF!="NG"</formula>
    </cfRule>
    <cfRule type="expression" dxfId="1077" priority="205" stopIfTrue="1">
      <formula>N$35="NA"</formula>
    </cfRule>
    <cfRule type="expression" dxfId="1076" priority="206" stopIfTrue="1">
      <formula>N$35="NG"</formula>
    </cfRule>
  </conditionalFormatting>
  <conditionalFormatting sqref="M19">
    <cfRule type="expression" dxfId="1075" priority="202" stopIfTrue="1">
      <formula>N$39="NA"</formula>
    </cfRule>
    <cfRule type="expression" dxfId="1074" priority="203" stopIfTrue="1">
      <formula>N$39="NG"</formula>
    </cfRule>
  </conditionalFormatting>
  <conditionalFormatting sqref="M19">
    <cfRule type="expression" dxfId="1073" priority="199" stopIfTrue="1">
      <formula>#REF!="NG"</formula>
    </cfRule>
    <cfRule type="expression" dxfId="1072" priority="200" stopIfTrue="1">
      <formula>N$35="NA"</formula>
    </cfRule>
    <cfRule type="expression" dxfId="1071" priority="201" stopIfTrue="1">
      <formula>N$35="NG"</formula>
    </cfRule>
  </conditionalFormatting>
  <conditionalFormatting sqref="M19">
    <cfRule type="expression" dxfId="1070" priority="197" stopIfTrue="1">
      <formula>N$39="NA"</formula>
    </cfRule>
    <cfRule type="expression" dxfId="1069" priority="198" stopIfTrue="1">
      <formula>N$39="NG"</formula>
    </cfRule>
  </conditionalFormatting>
  <conditionalFormatting sqref="M19">
    <cfRule type="expression" dxfId="1068" priority="195" stopIfTrue="1">
      <formula>N$39="NA"</formula>
    </cfRule>
    <cfRule type="expression" dxfId="1067" priority="196" stopIfTrue="1">
      <formula>N$39="NG"</formula>
    </cfRule>
  </conditionalFormatting>
  <conditionalFormatting sqref="M19">
    <cfRule type="expression" dxfId="1066" priority="192" stopIfTrue="1">
      <formula>#REF!="NG"</formula>
    </cfRule>
    <cfRule type="expression" dxfId="1065" priority="193" stopIfTrue="1">
      <formula>N$23="NA"</formula>
    </cfRule>
    <cfRule type="expression" dxfId="1064" priority="194" stopIfTrue="1">
      <formula>N$23="NG"</formula>
    </cfRule>
  </conditionalFormatting>
  <conditionalFormatting sqref="H21:M21">
    <cfRule type="expression" dxfId="1063" priority="187" stopIfTrue="1">
      <formula>#REF!="NG"</formula>
    </cfRule>
    <cfRule type="expression" dxfId="1062" priority="188" stopIfTrue="1">
      <formula>H$35="NA"</formula>
    </cfRule>
    <cfRule type="expression" dxfId="1061" priority="189" stopIfTrue="1">
      <formula>H$35="NG"</formula>
    </cfRule>
  </conditionalFormatting>
  <conditionalFormatting sqref="M21">
    <cfRule type="expression" dxfId="1060" priority="185" stopIfTrue="1">
      <formula>M$39="NA"</formula>
    </cfRule>
    <cfRule type="expression" dxfId="1059" priority="186" stopIfTrue="1">
      <formula>M$39="NG"</formula>
    </cfRule>
  </conditionalFormatting>
  <conditionalFormatting sqref="K21:L21">
    <cfRule type="expression" dxfId="1058" priority="183" stopIfTrue="1">
      <formula>K$39="NA"</formula>
    </cfRule>
    <cfRule type="expression" dxfId="1057" priority="184" stopIfTrue="1">
      <formula>K$39="NG"</formula>
    </cfRule>
  </conditionalFormatting>
  <conditionalFormatting sqref="J21">
    <cfRule type="expression" dxfId="1056" priority="181" stopIfTrue="1">
      <formula>J$39="NA"</formula>
    </cfRule>
    <cfRule type="expression" dxfId="1055" priority="182" stopIfTrue="1">
      <formula>J$39="NG"</formula>
    </cfRule>
  </conditionalFormatting>
  <conditionalFormatting sqref="I21">
    <cfRule type="expression" dxfId="1054" priority="179" stopIfTrue="1">
      <formula>I$39="NA"</formula>
    </cfRule>
    <cfRule type="expression" dxfId="1053" priority="180" stopIfTrue="1">
      <formula>I$39="NG"</formula>
    </cfRule>
  </conditionalFormatting>
  <conditionalFormatting sqref="H21">
    <cfRule type="expression" dxfId="1052" priority="177" stopIfTrue="1">
      <formula>H$39="NA"</formula>
    </cfRule>
    <cfRule type="expression" dxfId="1051" priority="178" stopIfTrue="1">
      <formula>H$39="NG"</formula>
    </cfRule>
  </conditionalFormatting>
  <conditionalFormatting sqref="L21">
    <cfRule type="expression" dxfId="1050" priority="175" stopIfTrue="1">
      <formula>L$39="NA"</formula>
    </cfRule>
    <cfRule type="expression" dxfId="1049" priority="176" stopIfTrue="1">
      <formula>L$39="NG"</formula>
    </cfRule>
  </conditionalFormatting>
  <conditionalFormatting sqref="M21">
    <cfRule type="expression" dxfId="1048" priority="172" stopIfTrue="1">
      <formula>#REF!="NG"</formula>
    </cfRule>
    <cfRule type="expression" dxfId="1047" priority="173" stopIfTrue="1">
      <formula>M$35="NA"</formula>
    </cfRule>
    <cfRule type="expression" dxfId="1046" priority="174" stopIfTrue="1">
      <formula>M$35="NG"</formula>
    </cfRule>
  </conditionalFormatting>
  <conditionalFormatting sqref="M21">
    <cfRule type="expression" dxfId="1045" priority="170" stopIfTrue="1">
      <formula>M$39="NA"</formula>
    </cfRule>
    <cfRule type="expression" dxfId="1044" priority="171" stopIfTrue="1">
      <formula>M$39="NG"</formula>
    </cfRule>
  </conditionalFormatting>
  <conditionalFormatting sqref="M21">
    <cfRule type="expression" dxfId="1043" priority="168" stopIfTrue="1">
      <formula>M$39="NA"</formula>
    </cfRule>
    <cfRule type="expression" dxfId="1042" priority="169" stopIfTrue="1">
      <formula>M$39="NG"</formula>
    </cfRule>
  </conditionalFormatting>
  <conditionalFormatting sqref="M21">
    <cfRule type="expression" dxfId="1041" priority="165" stopIfTrue="1">
      <formula>#REF!="NG"</formula>
    </cfRule>
    <cfRule type="expression" dxfId="1040" priority="166" stopIfTrue="1">
      <formula>M$23="NA"</formula>
    </cfRule>
    <cfRule type="expression" dxfId="1039" priority="167" stopIfTrue="1">
      <formula>M$23="NG"</formula>
    </cfRule>
  </conditionalFormatting>
  <conditionalFormatting sqref="L21">
    <cfRule type="expression" dxfId="1038" priority="160" stopIfTrue="1">
      <formula>#REF!="NG"</formula>
    </cfRule>
    <cfRule type="expression" dxfId="1037" priority="161" stopIfTrue="1">
      <formula>L$35="NA"</formula>
    </cfRule>
    <cfRule type="expression" dxfId="1036" priority="162" stopIfTrue="1">
      <formula>L$35="NG"</formula>
    </cfRule>
  </conditionalFormatting>
  <conditionalFormatting sqref="L21">
    <cfRule type="expression" dxfId="1035" priority="158" stopIfTrue="1">
      <formula>L$39="NA"</formula>
    </cfRule>
    <cfRule type="expression" dxfId="1034" priority="159" stopIfTrue="1">
      <formula>L$39="NG"</formula>
    </cfRule>
  </conditionalFormatting>
  <conditionalFormatting sqref="L21">
    <cfRule type="expression" dxfId="1033" priority="156" stopIfTrue="1">
      <formula>L$39="NA"</formula>
    </cfRule>
    <cfRule type="expression" dxfId="1032" priority="157" stopIfTrue="1">
      <formula>L$39="NG"</formula>
    </cfRule>
  </conditionalFormatting>
  <conditionalFormatting sqref="L21">
    <cfRule type="expression" dxfId="1031" priority="153" stopIfTrue="1">
      <formula>#REF!="NG"</formula>
    </cfRule>
    <cfRule type="expression" dxfId="1030" priority="154" stopIfTrue="1">
      <formula>L$23="NA"</formula>
    </cfRule>
    <cfRule type="expression" dxfId="1029" priority="155" stopIfTrue="1">
      <formula>L$23="NG"</formula>
    </cfRule>
  </conditionalFormatting>
  <conditionalFormatting sqref="K21">
    <cfRule type="expression" dxfId="1028" priority="148" stopIfTrue="1">
      <formula>#REF!="NG"</formula>
    </cfRule>
    <cfRule type="expression" dxfId="1027" priority="149" stopIfTrue="1">
      <formula>K$35="NA"</formula>
    </cfRule>
    <cfRule type="expression" dxfId="1026" priority="150" stopIfTrue="1">
      <formula>K$35="NG"</formula>
    </cfRule>
  </conditionalFormatting>
  <conditionalFormatting sqref="K21">
    <cfRule type="expression" dxfId="1025" priority="146" stopIfTrue="1">
      <formula>K$39="NA"</formula>
    </cfRule>
    <cfRule type="expression" dxfId="1024" priority="147" stopIfTrue="1">
      <formula>K$39="NG"</formula>
    </cfRule>
  </conditionalFormatting>
  <conditionalFormatting sqref="K21">
    <cfRule type="expression" dxfId="1023" priority="144" stopIfTrue="1">
      <formula>K$39="NA"</formula>
    </cfRule>
    <cfRule type="expression" dxfId="1022" priority="145" stopIfTrue="1">
      <formula>K$39="NG"</formula>
    </cfRule>
  </conditionalFormatting>
  <conditionalFormatting sqref="K21">
    <cfRule type="expression" dxfId="1021" priority="141" stopIfTrue="1">
      <formula>#REF!="NG"</formula>
    </cfRule>
    <cfRule type="expression" dxfId="1020" priority="142" stopIfTrue="1">
      <formula>K$23="NA"</formula>
    </cfRule>
    <cfRule type="expression" dxfId="1019" priority="143" stopIfTrue="1">
      <formula>K$23="NG"</formula>
    </cfRule>
  </conditionalFormatting>
  <conditionalFormatting sqref="J21">
    <cfRule type="expression" dxfId="1018" priority="136" stopIfTrue="1">
      <formula>#REF!="NG"</formula>
    </cfRule>
    <cfRule type="expression" dxfId="1017" priority="137" stopIfTrue="1">
      <formula>J$35="NA"</formula>
    </cfRule>
    <cfRule type="expression" dxfId="1016" priority="138" stopIfTrue="1">
      <formula>J$35="NG"</formula>
    </cfRule>
  </conditionalFormatting>
  <conditionalFormatting sqref="J21">
    <cfRule type="expression" dxfId="1015" priority="134" stopIfTrue="1">
      <formula>J$39="NA"</formula>
    </cfRule>
    <cfRule type="expression" dxfId="1014" priority="135" stopIfTrue="1">
      <formula>J$39="NG"</formula>
    </cfRule>
  </conditionalFormatting>
  <conditionalFormatting sqref="J21">
    <cfRule type="expression" dxfId="1013" priority="132" stopIfTrue="1">
      <formula>J$39="NA"</formula>
    </cfRule>
    <cfRule type="expression" dxfId="1012" priority="133" stopIfTrue="1">
      <formula>J$39="NG"</formula>
    </cfRule>
  </conditionalFormatting>
  <conditionalFormatting sqref="J21">
    <cfRule type="expression" dxfId="1011" priority="129" stopIfTrue="1">
      <formula>#REF!="NG"</formula>
    </cfRule>
    <cfRule type="expression" dxfId="1010" priority="130" stopIfTrue="1">
      <formula>J$23="NA"</formula>
    </cfRule>
    <cfRule type="expression" dxfId="1009" priority="131" stopIfTrue="1">
      <formula>J$23="NG"</formula>
    </cfRule>
  </conditionalFormatting>
  <conditionalFormatting sqref="I21">
    <cfRule type="expression" dxfId="1008" priority="124" stopIfTrue="1">
      <formula>#REF!="NG"</formula>
    </cfRule>
    <cfRule type="expression" dxfId="1007" priority="125" stopIfTrue="1">
      <formula>I$35="NA"</formula>
    </cfRule>
    <cfRule type="expression" dxfId="1006" priority="126" stopIfTrue="1">
      <formula>I$35="NG"</formula>
    </cfRule>
  </conditionalFormatting>
  <conditionalFormatting sqref="I21">
    <cfRule type="expression" dxfId="1005" priority="122" stopIfTrue="1">
      <formula>I$39="NA"</formula>
    </cfRule>
    <cfRule type="expression" dxfId="1004" priority="123" stopIfTrue="1">
      <formula>I$39="NG"</formula>
    </cfRule>
  </conditionalFormatting>
  <conditionalFormatting sqref="I21">
    <cfRule type="expression" dxfId="1003" priority="120" stopIfTrue="1">
      <formula>I$39="NA"</formula>
    </cfRule>
    <cfRule type="expression" dxfId="1002" priority="121" stopIfTrue="1">
      <formula>I$39="NG"</formula>
    </cfRule>
  </conditionalFormatting>
  <conditionalFormatting sqref="I21">
    <cfRule type="expression" dxfId="1001" priority="117" stopIfTrue="1">
      <formula>#REF!="NG"</formula>
    </cfRule>
    <cfRule type="expression" dxfId="1000" priority="118" stopIfTrue="1">
      <formula>I$23="NA"</formula>
    </cfRule>
    <cfRule type="expression" dxfId="999" priority="119" stopIfTrue="1">
      <formula>I$23="NG"</formula>
    </cfRule>
  </conditionalFormatting>
  <conditionalFormatting sqref="H21">
    <cfRule type="expression" dxfId="998" priority="112" stopIfTrue="1">
      <formula>#REF!="NG"</formula>
    </cfRule>
    <cfRule type="expression" dxfId="997" priority="113" stopIfTrue="1">
      <formula>H$35="NA"</formula>
    </cfRule>
    <cfRule type="expression" dxfId="996" priority="114" stopIfTrue="1">
      <formula>H$35="NG"</formula>
    </cfRule>
  </conditionalFormatting>
  <conditionalFormatting sqref="H21">
    <cfRule type="expression" dxfId="995" priority="110" stopIfTrue="1">
      <formula>H$39="NA"</formula>
    </cfRule>
    <cfRule type="expression" dxfId="994" priority="111" stopIfTrue="1">
      <formula>H$39="NG"</formula>
    </cfRule>
  </conditionalFormatting>
  <conditionalFormatting sqref="H21">
    <cfRule type="expression" dxfId="993" priority="108" stopIfTrue="1">
      <formula>H$39="NA"</formula>
    </cfRule>
    <cfRule type="expression" dxfId="992" priority="109" stopIfTrue="1">
      <formula>H$39="NG"</formula>
    </cfRule>
  </conditionalFormatting>
  <conditionalFormatting sqref="H21">
    <cfRule type="expression" dxfId="991" priority="105" stopIfTrue="1">
      <formula>#REF!="NG"</formula>
    </cfRule>
    <cfRule type="expression" dxfId="990" priority="106" stopIfTrue="1">
      <formula>H$23="NA"</formula>
    </cfRule>
    <cfRule type="expression" dxfId="989" priority="107" stopIfTrue="1">
      <formula>H$23="NG"</formula>
    </cfRule>
  </conditionalFormatting>
  <conditionalFormatting sqref="N21">
    <cfRule type="expression" dxfId="988" priority="100" stopIfTrue="1">
      <formula>#REF!="NG"</formula>
    </cfRule>
    <cfRule type="expression" dxfId="987" priority="101" stopIfTrue="1">
      <formula>N$35="NA"</formula>
    </cfRule>
    <cfRule type="expression" dxfId="986" priority="102" stopIfTrue="1">
      <formula>N$35="NG"</formula>
    </cfRule>
  </conditionalFormatting>
  <conditionalFormatting sqref="N21">
    <cfRule type="expression" dxfId="985" priority="98" stopIfTrue="1">
      <formula>N$39="NA"</formula>
    </cfRule>
    <cfRule type="expression" dxfId="984" priority="99" stopIfTrue="1">
      <formula>N$39="NG"</formula>
    </cfRule>
  </conditionalFormatting>
  <conditionalFormatting sqref="N21">
    <cfRule type="expression" dxfId="983" priority="95" stopIfTrue="1">
      <formula>#REF!="NG"</formula>
    </cfRule>
    <cfRule type="expression" dxfId="982" priority="96" stopIfTrue="1">
      <formula>N$35="NA"</formula>
    </cfRule>
    <cfRule type="expression" dxfId="981" priority="97" stopIfTrue="1">
      <formula>N$35="NG"</formula>
    </cfRule>
  </conditionalFormatting>
  <conditionalFormatting sqref="N21">
    <cfRule type="expression" dxfId="980" priority="93" stopIfTrue="1">
      <formula>N$39="NA"</formula>
    </cfRule>
    <cfRule type="expression" dxfId="979" priority="94" stopIfTrue="1">
      <formula>N$39="NG"</formula>
    </cfRule>
  </conditionalFormatting>
  <conditionalFormatting sqref="N21">
    <cfRule type="expression" dxfId="978" priority="91" stopIfTrue="1">
      <formula>N$39="NA"</formula>
    </cfRule>
    <cfRule type="expression" dxfId="977" priority="92" stopIfTrue="1">
      <formula>N$39="NG"</formula>
    </cfRule>
  </conditionalFormatting>
  <conditionalFormatting sqref="N21">
    <cfRule type="expression" dxfId="976" priority="88" stopIfTrue="1">
      <formula>#REF!="NG"</formula>
    </cfRule>
    <cfRule type="expression" dxfId="975" priority="89" stopIfTrue="1">
      <formula>N$23="NA"</formula>
    </cfRule>
    <cfRule type="expression" dxfId="974" priority="90" stopIfTrue="1">
      <formula>N$23="NG"</formula>
    </cfRule>
  </conditionalFormatting>
  <conditionalFormatting sqref="H23">
    <cfRule type="expression" dxfId="973" priority="83" stopIfTrue="1">
      <formula>#REF!="NG"</formula>
    </cfRule>
    <cfRule type="expression" dxfId="972" priority="84" stopIfTrue="1">
      <formula>H$35="NA"</formula>
    </cfRule>
    <cfRule type="expression" dxfId="971" priority="85" stopIfTrue="1">
      <formula>H$35="NG"</formula>
    </cfRule>
  </conditionalFormatting>
  <conditionalFormatting sqref="H23">
    <cfRule type="expression" dxfId="970" priority="81" stopIfTrue="1">
      <formula>H$39="NA"</formula>
    </cfRule>
    <cfRule type="expression" dxfId="969" priority="82" stopIfTrue="1">
      <formula>H$39="NG"</formula>
    </cfRule>
  </conditionalFormatting>
  <conditionalFormatting sqref="H23">
    <cfRule type="expression" dxfId="968" priority="78" stopIfTrue="1">
      <formula>#REF!="NG"</formula>
    </cfRule>
    <cfRule type="expression" dxfId="967" priority="79" stopIfTrue="1">
      <formula>H$35="NA"</formula>
    </cfRule>
    <cfRule type="expression" dxfId="966" priority="80" stopIfTrue="1">
      <formula>H$35="NG"</formula>
    </cfRule>
  </conditionalFormatting>
  <conditionalFormatting sqref="H23">
    <cfRule type="expression" dxfId="965" priority="76" stopIfTrue="1">
      <formula>H$39="NA"</formula>
    </cfRule>
    <cfRule type="expression" dxfId="964" priority="77" stopIfTrue="1">
      <formula>H$39="NG"</formula>
    </cfRule>
  </conditionalFormatting>
  <conditionalFormatting sqref="H23">
    <cfRule type="expression" dxfId="963" priority="74" stopIfTrue="1">
      <formula>H$39="NA"</formula>
    </cfRule>
    <cfRule type="expression" dxfId="962" priority="75" stopIfTrue="1">
      <formula>H$39="NG"</formula>
    </cfRule>
  </conditionalFormatting>
  <conditionalFormatting sqref="H23">
    <cfRule type="expression" dxfId="961" priority="71" stopIfTrue="1">
      <formula>#REF!="NG"</formula>
    </cfRule>
    <cfRule type="expression" dxfId="960" priority="72" stopIfTrue="1">
      <formula>H$23="NA"</formula>
    </cfRule>
    <cfRule type="expression" dxfId="959" priority="73" stopIfTrue="1">
      <formula>H$23="NG"</formula>
    </cfRule>
  </conditionalFormatting>
  <conditionalFormatting sqref="J25">
    <cfRule type="expression" dxfId="958" priority="66" stopIfTrue="1">
      <formula>#REF!="NG"</formula>
    </cfRule>
    <cfRule type="expression" dxfId="957" priority="67" stopIfTrue="1">
      <formula>J$35="NA"</formula>
    </cfRule>
    <cfRule type="expression" dxfId="956" priority="68" stopIfTrue="1">
      <formula>J$35="NG"</formula>
    </cfRule>
  </conditionalFormatting>
  <conditionalFormatting sqref="J25">
    <cfRule type="expression" dxfId="955" priority="64" stopIfTrue="1">
      <formula>J$39="NA"</formula>
    </cfRule>
    <cfRule type="expression" dxfId="954" priority="65" stopIfTrue="1">
      <formula>J$39="NG"</formula>
    </cfRule>
  </conditionalFormatting>
  <conditionalFormatting sqref="J25">
    <cfRule type="expression" dxfId="953" priority="61" stopIfTrue="1">
      <formula>#REF!="NG"</formula>
    </cfRule>
    <cfRule type="expression" dxfId="952" priority="62" stopIfTrue="1">
      <formula>J$35="NA"</formula>
    </cfRule>
    <cfRule type="expression" dxfId="951" priority="63" stopIfTrue="1">
      <formula>J$35="NG"</formula>
    </cfRule>
  </conditionalFormatting>
  <conditionalFormatting sqref="J25">
    <cfRule type="expression" dxfId="950" priority="59" stopIfTrue="1">
      <formula>J$39="NA"</formula>
    </cfRule>
    <cfRule type="expression" dxfId="949" priority="60" stopIfTrue="1">
      <formula>J$39="NG"</formula>
    </cfRule>
  </conditionalFormatting>
  <conditionalFormatting sqref="J25">
    <cfRule type="expression" dxfId="948" priority="57" stopIfTrue="1">
      <formula>J$39="NA"</formula>
    </cfRule>
    <cfRule type="expression" dxfId="947" priority="58" stopIfTrue="1">
      <formula>J$39="NG"</formula>
    </cfRule>
  </conditionalFormatting>
  <conditionalFormatting sqref="J25">
    <cfRule type="expression" dxfId="946" priority="54" stopIfTrue="1">
      <formula>#REF!="NG"</formula>
    </cfRule>
    <cfRule type="expression" dxfId="945" priority="55" stopIfTrue="1">
      <formula>J$23="NA"</formula>
    </cfRule>
    <cfRule type="expression" dxfId="944" priority="56" stopIfTrue="1">
      <formula>J$23="NG"</formula>
    </cfRule>
  </conditionalFormatting>
  <conditionalFormatting sqref="K27">
    <cfRule type="expression" dxfId="943" priority="49" stopIfTrue="1">
      <formula>#REF!="NG"</formula>
    </cfRule>
    <cfRule type="expression" dxfId="942" priority="50" stopIfTrue="1">
      <formula>K$35="NA"</formula>
    </cfRule>
    <cfRule type="expression" dxfId="941" priority="51" stopIfTrue="1">
      <formula>K$35="NG"</formula>
    </cfRule>
  </conditionalFormatting>
  <conditionalFormatting sqref="K27">
    <cfRule type="expression" dxfId="940" priority="47" stopIfTrue="1">
      <formula>K$39="NA"</formula>
    </cfRule>
    <cfRule type="expression" dxfId="939" priority="48" stopIfTrue="1">
      <formula>K$39="NG"</formula>
    </cfRule>
  </conditionalFormatting>
  <conditionalFormatting sqref="K27">
    <cfRule type="expression" dxfId="938" priority="44" stopIfTrue="1">
      <formula>#REF!="NG"</formula>
    </cfRule>
    <cfRule type="expression" dxfId="937" priority="45" stopIfTrue="1">
      <formula>K$35="NA"</formula>
    </cfRule>
    <cfRule type="expression" dxfId="936" priority="46" stopIfTrue="1">
      <formula>K$35="NG"</formula>
    </cfRule>
  </conditionalFormatting>
  <conditionalFormatting sqref="K27">
    <cfRule type="expression" dxfId="935" priority="42" stopIfTrue="1">
      <formula>K$39="NA"</formula>
    </cfRule>
    <cfRule type="expression" dxfId="934" priority="43" stopIfTrue="1">
      <formula>K$39="NG"</formula>
    </cfRule>
  </conditionalFormatting>
  <conditionalFormatting sqref="K27">
    <cfRule type="expression" dxfId="933" priority="40" stopIfTrue="1">
      <formula>K$39="NA"</formula>
    </cfRule>
    <cfRule type="expression" dxfId="932" priority="41" stopIfTrue="1">
      <formula>K$39="NG"</formula>
    </cfRule>
  </conditionalFormatting>
  <conditionalFormatting sqref="K27">
    <cfRule type="expression" dxfId="931" priority="37" stopIfTrue="1">
      <formula>#REF!="NG"</formula>
    </cfRule>
    <cfRule type="expression" dxfId="930" priority="38" stopIfTrue="1">
      <formula>K$23="NA"</formula>
    </cfRule>
    <cfRule type="expression" dxfId="929" priority="39" stopIfTrue="1">
      <formula>K$23="NG"</formula>
    </cfRule>
  </conditionalFormatting>
  <conditionalFormatting sqref="L11 L19:M19">
    <cfRule type="expression" dxfId="928" priority="639" stopIfTrue="1">
      <formula>M$33="NA"</formula>
    </cfRule>
    <cfRule type="expression" dxfId="927" priority="640" stopIfTrue="1">
      <formula>M$33="NG"</formula>
    </cfRule>
  </conditionalFormatting>
  <conditionalFormatting sqref="L11 L19">
    <cfRule type="expression" dxfId="926" priority="644" stopIfTrue="1">
      <formula>#REF!="NG"</formula>
    </cfRule>
    <cfRule type="expression" dxfId="925" priority="645" stopIfTrue="1">
      <formula>M$35="NA"</formula>
    </cfRule>
    <cfRule type="expression" dxfId="924" priority="646" stopIfTrue="1">
      <formula>M$35="NG"</formula>
    </cfRule>
  </conditionalFormatting>
  <conditionalFormatting sqref="N28">
    <cfRule type="expression" dxfId="923" priority="33" stopIfTrue="1">
      <formula>#REF!="NA"</formula>
    </cfRule>
    <cfRule type="expression" dxfId="922" priority="34" stopIfTrue="1">
      <formula>#REF!="NG"</formula>
    </cfRule>
  </conditionalFormatting>
  <conditionalFormatting sqref="N28">
    <cfRule type="expression" dxfId="921" priority="30" stopIfTrue="1">
      <formula>#REF!="NG"</formula>
    </cfRule>
    <cfRule type="expression" dxfId="920" priority="31" stopIfTrue="1">
      <formula>N$35="NA"</formula>
    </cfRule>
    <cfRule type="expression" dxfId="919" priority="32" stopIfTrue="1">
      <formula>N$35="NG"</formula>
    </cfRule>
  </conditionalFormatting>
  <conditionalFormatting sqref="N28">
    <cfRule type="expression" dxfId="918" priority="28" stopIfTrue="1">
      <formula>N$39="NA"</formula>
    </cfRule>
    <cfRule type="expression" dxfId="917" priority="29" stopIfTrue="1">
      <formula>N$39="NG"</formula>
    </cfRule>
  </conditionalFormatting>
  <conditionalFormatting sqref="N28">
    <cfRule type="expression" dxfId="916" priority="25" stopIfTrue="1">
      <formula>#REF!="NG"</formula>
    </cfRule>
    <cfRule type="expression" dxfId="915" priority="26" stopIfTrue="1">
      <formula>N$35="NA"</formula>
    </cfRule>
    <cfRule type="expression" dxfId="914" priority="27" stopIfTrue="1">
      <formula>N$35="NG"</formula>
    </cfRule>
  </conditionalFormatting>
  <conditionalFormatting sqref="N28">
    <cfRule type="expression" dxfId="913" priority="23" stopIfTrue="1">
      <formula>N$39="NA"</formula>
    </cfRule>
    <cfRule type="expression" dxfId="912" priority="24" stopIfTrue="1">
      <formula>N$39="NG"</formula>
    </cfRule>
  </conditionalFormatting>
  <conditionalFormatting sqref="N28">
    <cfRule type="expression" dxfId="911" priority="21" stopIfTrue="1">
      <formula>N$39="NA"</formula>
    </cfRule>
    <cfRule type="expression" dxfId="910" priority="22" stopIfTrue="1">
      <formula>N$39="NG"</formula>
    </cfRule>
  </conditionalFormatting>
  <conditionalFormatting sqref="N28">
    <cfRule type="expression" dxfId="909" priority="18" stopIfTrue="1">
      <formula>#REF!="NG"</formula>
    </cfRule>
    <cfRule type="expression" dxfId="908" priority="19" stopIfTrue="1">
      <formula>N$23="NA"</formula>
    </cfRule>
    <cfRule type="expression" dxfId="907" priority="20" stopIfTrue="1">
      <formula>N$23="NG"</formula>
    </cfRule>
  </conditionalFormatting>
  <conditionalFormatting sqref="O29">
    <cfRule type="expression" dxfId="906" priority="16" stopIfTrue="1">
      <formula>#REF!="NA"</formula>
    </cfRule>
    <cfRule type="expression" dxfId="905" priority="17" stopIfTrue="1">
      <formula>#REF!="NG"</formula>
    </cfRule>
  </conditionalFormatting>
  <conditionalFormatting sqref="O29">
    <cfRule type="expression" dxfId="904" priority="13" stopIfTrue="1">
      <formula>#REF!="NG"</formula>
    </cfRule>
    <cfRule type="expression" dxfId="903" priority="14" stopIfTrue="1">
      <formula>O$35="NA"</formula>
    </cfRule>
    <cfRule type="expression" dxfId="902" priority="15" stopIfTrue="1">
      <formula>O$35="NG"</formula>
    </cfRule>
  </conditionalFormatting>
  <conditionalFormatting sqref="O29">
    <cfRule type="expression" dxfId="901" priority="11" stopIfTrue="1">
      <formula>O$39="NA"</formula>
    </cfRule>
    <cfRule type="expression" dxfId="900" priority="12" stopIfTrue="1">
      <formula>O$39="NG"</formula>
    </cfRule>
  </conditionalFormatting>
  <conditionalFormatting sqref="O29">
    <cfRule type="expression" dxfId="899" priority="8" stopIfTrue="1">
      <formula>#REF!="NG"</formula>
    </cfRule>
    <cfRule type="expression" dxfId="898" priority="9" stopIfTrue="1">
      <formula>O$35="NA"</formula>
    </cfRule>
    <cfRule type="expression" dxfId="897" priority="10" stopIfTrue="1">
      <formula>O$35="NG"</formula>
    </cfRule>
  </conditionalFormatting>
  <conditionalFormatting sqref="O29">
    <cfRule type="expression" dxfId="896" priority="6" stopIfTrue="1">
      <formula>O$39="NA"</formula>
    </cfRule>
    <cfRule type="expression" dxfId="895" priority="7" stopIfTrue="1">
      <formula>O$39="NG"</formula>
    </cfRule>
  </conditionalFormatting>
  <conditionalFormatting sqref="O29">
    <cfRule type="expression" dxfId="894" priority="4" stopIfTrue="1">
      <formula>O$39="NA"</formula>
    </cfRule>
    <cfRule type="expression" dxfId="893" priority="5" stopIfTrue="1">
      <formula>O$39="NG"</formula>
    </cfRule>
  </conditionalFormatting>
  <conditionalFormatting sqref="O29">
    <cfRule type="expression" dxfId="892" priority="1" stopIfTrue="1">
      <formula>#REF!="NG"</formula>
    </cfRule>
    <cfRule type="expression" dxfId="891" priority="2" stopIfTrue="1">
      <formula>O$23="NA"</formula>
    </cfRule>
    <cfRule type="expression" dxfId="890" priority="3" stopIfTrue="1">
      <formula>O$23="NG"</formula>
    </cfRule>
  </conditionalFormatting>
  <dataValidations count="10">
    <dataValidation type="list" allowBlank="1" showInputMessage="1" showErrorMessage="1" sqref="H30:AF30">
      <formula1>"N, A, B"</formula1>
    </dataValidation>
    <dataValidation type="list" allowBlank="1" showInputMessage="1" showErrorMessage="1" sqref="H33:AF33">
      <formula1>"OK, NG, NA, PT"</formula1>
    </dataValidation>
    <dataValidation allowBlank="1" showInputMessage="1" showErrorMessage="1" promptTitle="PCL sheet name" prompt=" " sqref="F34:G34"/>
    <dataValidation allowBlank="1" showInputMessage="1" showErrorMessage="1" promptTitle="Bug ID" prompt="Unique ID throughout the project._x000a_For every Bug found during Test as well as Re-Test, a new Bug ID needs to be entered here (as a comma seperated value)" sqref="B34:E3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3"/>
    <dataValidation allowBlank="1" showInputMessage="1" showErrorMessage="1" promptTitle="Testing Date" prompt="Date on which test was performed in yyyy/mm/dd format" sqref="G32"/>
    <dataValidation allowBlank="1" showInputMessage="1" showErrorMessage="1" promptTitle="Enter" prompt="Name of the person who performed the test" sqref="G31"/>
    <dataValidation allowBlank="1" showInputMessage="1" showErrorMessage="1" promptTitle="Condition Type" prompt="N : Normal _x000a_A : Abnormal _x000a_B : Boundary" sqref="G30"/>
    <dataValidation allowBlank="1" showInputMessage="1" showErrorMessage="1" promptTitle="Check points" prompt="that need / need not be executed" sqref="A15:A29"/>
    <dataValidation allowBlank="1" showInputMessage="1" showErrorMessage="1" promptTitle="Input conditions" prompt="that need to be checked." sqref="A4:A14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42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21" sqref="H2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7" t="s">
        <v>8</v>
      </c>
      <c r="C1" s="188"/>
      <c r="D1" s="188"/>
      <c r="E1" s="189"/>
      <c r="F1" s="187" t="s">
        <v>6</v>
      </c>
      <c r="G1" s="188"/>
      <c r="H1" s="188"/>
      <c r="I1" s="188"/>
      <c r="J1" s="188"/>
      <c r="K1" s="188"/>
      <c r="L1" s="188"/>
      <c r="M1" s="188"/>
      <c r="N1" s="188"/>
      <c r="O1" s="189"/>
      <c r="P1" s="168" t="s">
        <v>0</v>
      </c>
      <c r="Q1" s="169"/>
      <c r="R1" s="169"/>
      <c r="S1" s="170"/>
      <c r="T1" s="187" t="s">
        <v>10</v>
      </c>
      <c r="U1" s="188"/>
      <c r="V1" s="188"/>
      <c r="W1" s="188"/>
      <c r="X1" s="188"/>
      <c r="Y1" s="188"/>
      <c r="Z1" s="189"/>
      <c r="AA1" s="190" t="s">
        <v>11</v>
      </c>
      <c r="AB1" s="190"/>
      <c r="AC1" s="191"/>
      <c r="AD1" s="191"/>
      <c r="AE1" s="191"/>
      <c r="AF1" s="192"/>
    </row>
    <row r="2" spans="1:32" ht="20.100000000000001" customHeight="1" thickBot="1">
      <c r="A2" s="64" t="s">
        <v>4</v>
      </c>
      <c r="B2" s="181" t="s">
        <v>8</v>
      </c>
      <c r="C2" s="182"/>
      <c r="D2" s="182"/>
      <c r="E2" s="183"/>
      <c r="F2" s="181" t="s">
        <v>7</v>
      </c>
      <c r="G2" s="182"/>
      <c r="H2" s="183"/>
      <c r="I2" s="176" t="s">
        <v>12</v>
      </c>
      <c r="J2" s="177"/>
      <c r="K2" s="177"/>
      <c r="L2" s="177"/>
      <c r="M2" s="177"/>
      <c r="N2" s="177"/>
      <c r="O2" s="178"/>
      <c r="P2" s="181"/>
      <c r="Q2" s="182"/>
      <c r="R2" s="182"/>
      <c r="S2" s="182"/>
      <c r="T2" s="182"/>
      <c r="U2" s="182"/>
      <c r="V2" s="182"/>
      <c r="W2" s="182"/>
      <c r="X2" s="182"/>
      <c r="Y2" s="182"/>
      <c r="Z2" s="183"/>
      <c r="AA2" s="184" t="s">
        <v>13</v>
      </c>
      <c r="AB2" s="185"/>
      <c r="AC2" s="181" t="s">
        <v>14</v>
      </c>
      <c r="AD2" s="182"/>
      <c r="AE2" s="182"/>
      <c r="AF2" s="201"/>
    </row>
    <row r="3" spans="1:32" ht="37.5" customHeight="1" thickBot="1">
      <c r="A3" s="66" t="s">
        <v>51</v>
      </c>
      <c r="B3" s="10"/>
      <c r="C3" s="10"/>
      <c r="D3" s="10"/>
      <c r="E3" s="10"/>
      <c r="F3" s="10"/>
      <c r="G3" s="65" t="s">
        <v>52</v>
      </c>
      <c r="H3" s="11">
        <f>IF(COUNTA(H4:H36)&gt;0,1,"")</f>
        <v>1</v>
      </c>
      <c r="I3" s="12">
        <f t="shared" ref="I3:AF3" si="0">IF(COUNTA(I4:I36)&gt;0,IF(H3&gt;0,H3+1,""),"")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2" t="s">
        <v>53</v>
      </c>
      <c r="B4" s="242" t="s">
        <v>108</v>
      </c>
      <c r="C4" s="243"/>
      <c r="D4" s="243"/>
      <c r="E4" s="243"/>
      <c r="F4" s="243"/>
      <c r="G4" s="24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3"/>
      <c r="B5" s="244" t="s">
        <v>141</v>
      </c>
      <c r="C5" s="245"/>
      <c r="D5" s="245"/>
      <c r="E5" s="245"/>
      <c r="F5" s="245"/>
      <c r="G5" s="245"/>
      <c r="H5" s="82" t="s">
        <v>104</v>
      </c>
      <c r="I5" s="82" t="s">
        <v>104</v>
      </c>
      <c r="J5" s="82" t="s">
        <v>104</v>
      </c>
      <c r="K5" s="82" t="s">
        <v>104</v>
      </c>
      <c r="L5" s="82" t="s">
        <v>104</v>
      </c>
      <c r="M5" s="82" t="s">
        <v>104</v>
      </c>
      <c r="N5" s="82" t="s">
        <v>104</v>
      </c>
      <c r="O5" s="82" t="s">
        <v>104</v>
      </c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3"/>
      <c r="B6" s="90"/>
      <c r="C6" s="235" t="s">
        <v>109</v>
      </c>
      <c r="D6" s="235"/>
      <c r="E6" s="235"/>
      <c r="F6" s="235"/>
      <c r="G6" s="235"/>
      <c r="H6" s="101"/>
      <c r="I6" s="101"/>
      <c r="J6" s="101"/>
      <c r="K6" s="101"/>
      <c r="L6" s="101"/>
      <c r="M6" s="101"/>
      <c r="N6" s="101"/>
      <c r="O6" s="101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03"/>
      <c r="B7" s="90"/>
      <c r="C7" s="91"/>
      <c r="D7" s="236" t="s">
        <v>107</v>
      </c>
      <c r="E7" s="236"/>
      <c r="F7" s="236"/>
      <c r="G7" s="236"/>
      <c r="H7" s="82" t="s">
        <v>104</v>
      </c>
      <c r="I7" s="101"/>
      <c r="J7" s="82" t="s">
        <v>104</v>
      </c>
      <c r="K7" s="101"/>
      <c r="L7" s="101"/>
      <c r="M7" s="101"/>
      <c r="N7" s="101"/>
      <c r="O7" s="101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03"/>
      <c r="B8" s="90"/>
      <c r="C8" s="91"/>
      <c r="D8" s="237" t="s">
        <v>110</v>
      </c>
      <c r="E8" s="238"/>
      <c r="F8" s="238"/>
      <c r="G8" s="239"/>
      <c r="H8" s="101"/>
      <c r="I8" s="101"/>
      <c r="J8" s="101"/>
      <c r="K8" s="82" t="s">
        <v>104</v>
      </c>
      <c r="L8" s="101"/>
      <c r="M8" s="101"/>
      <c r="N8" s="101"/>
      <c r="O8" s="101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03"/>
      <c r="B9" s="90"/>
      <c r="C9" s="91"/>
      <c r="D9" s="236" t="s">
        <v>118</v>
      </c>
      <c r="E9" s="236"/>
      <c r="F9" s="236"/>
      <c r="G9" s="236"/>
      <c r="H9" s="101"/>
      <c r="I9" s="82" t="s">
        <v>104</v>
      </c>
      <c r="J9" s="101"/>
      <c r="K9" s="102"/>
      <c r="L9" s="82" t="s">
        <v>104</v>
      </c>
      <c r="M9" s="101"/>
      <c r="N9" s="101"/>
      <c r="O9" s="101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03"/>
      <c r="B10" s="90"/>
      <c r="C10" s="232" t="s">
        <v>111</v>
      </c>
      <c r="D10" s="232"/>
      <c r="E10" s="232"/>
      <c r="F10" s="232"/>
      <c r="G10" s="232"/>
      <c r="H10" s="101"/>
      <c r="I10" s="101"/>
      <c r="J10" s="101"/>
      <c r="K10" s="101"/>
      <c r="L10" s="101"/>
      <c r="M10" s="101"/>
      <c r="N10" s="85"/>
      <c r="O10" s="101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03"/>
      <c r="B11" s="90"/>
      <c r="C11" s="92"/>
      <c r="D11" s="236" t="s">
        <v>107</v>
      </c>
      <c r="E11" s="236"/>
      <c r="F11" s="236"/>
      <c r="G11" s="236"/>
      <c r="H11" s="82" t="s">
        <v>104</v>
      </c>
      <c r="I11" s="82" t="s">
        <v>104</v>
      </c>
      <c r="J11" s="101"/>
      <c r="K11" s="101"/>
      <c r="L11" s="101"/>
      <c r="M11" s="101"/>
      <c r="N11" s="101"/>
      <c r="O11" s="101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03"/>
      <c r="B12" s="90"/>
      <c r="C12" s="92"/>
      <c r="D12" s="237" t="s">
        <v>112</v>
      </c>
      <c r="E12" s="238"/>
      <c r="F12" s="238"/>
      <c r="G12" s="239"/>
      <c r="H12" s="101"/>
      <c r="I12" s="101"/>
      <c r="J12" s="101"/>
      <c r="K12" s="82" t="s">
        <v>104</v>
      </c>
      <c r="L12" s="101"/>
      <c r="M12" s="101"/>
      <c r="N12" s="101"/>
      <c r="O12" s="101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03"/>
      <c r="B13" s="90"/>
      <c r="C13" s="92"/>
      <c r="D13" s="240" t="s">
        <v>119</v>
      </c>
      <c r="E13" s="236"/>
      <c r="F13" s="236"/>
      <c r="G13" s="236"/>
      <c r="H13" s="101"/>
      <c r="I13" s="101"/>
      <c r="J13" s="82" t="s">
        <v>104</v>
      </c>
      <c r="K13" s="102"/>
      <c r="L13" s="82" t="s">
        <v>104</v>
      </c>
      <c r="M13" s="101"/>
      <c r="N13" s="101"/>
      <c r="O13" s="101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03"/>
      <c r="B14" s="90"/>
      <c r="C14" s="241" t="s">
        <v>113</v>
      </c>
      <c r="D14" s="241"/>
      <c r="E14" s="241"/>
      <c r="F14" s="241"/>
      <c r="G14" s="241"/>
      <c r="H14" s="82" t="s">
        <v>104</v>
      </c>
      <c r="I14" s="82" t="s">
        <v>104</v>
      </c>
      <c r="J14" s="82" t="s">
        <v>104</v>
      </c>
      <c r="K14" s="82" t="s">
        <v>104</v>
      </c>
      <c r="L14" s="82" t="s">
        <v>104</v>
      </c>
      <c r="M14" s="82" t="s">
        <v>104</v>
      </c>
      <c r="N14" s="82" t="s">
        <v>104</v>
      </c>
      <c r="O14" s="82" t="s">
        <v>104</v>
      </c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203"/>
      <c r="B15" s="90"/>
      <c r="C15" s="232" t="s">
        <v>114</v>
      </c>
      <c r="D15" s="232"/>
      <c r="E15" s="232"/>
      <c r="F15" s="232"/>
      <c r="G15" s="232"/>
      <c r="H15" s="101"/>
      <c r="I15" s="101"/>
      <c r="J15" s="101"/>
      <c r="K15" s="101"/>
      <c r="L15" s="101"/>
      <c r="M15" s="101"/>
      <c r="N15" s="101"/>
      <c r="O15" s="101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203"/>
      <c r="B16" s="90"/>
      <c r="C16" s="93"/>
      <c r="D16" s="229" t="s">
        <v>115</v>
      </c>
      <c r="E16" s="230"/>
      <c r="F16" s="230"/>
      <c r="G16" s="231"/>
      <c r="H16" s="101"/>
      <c r="I16" s="101"/>
      <c r="J16" s="101"/>
      <c r="K16" s="101"/>
      <c r="L16" s="101"/>
      <c r="M16" s="82" t="s">
        <v>104</v>
      </c>
      <c r="N16" s="101"/>
      <c r="O16" s="101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203"/>
      <c r="B17" s="90"/>
      <c r="C17" s="85"/>
      <c r="D17" s="232" t="s">
        <v>116</v>
      </c>
      <c r="E17" s="232"/>
      <c r="F17" s="232"/>
      <c r="G17" s="232"/>
      <c r="H17" s="101"/>
      <c r="I17" s="101"/>
      <c r="J17" s="101"/>
      <c r="K17" s="101"/>
      <c r="L17" s="101"/>
      <c r="M17" s="101"/>
      <c r="N17" s="82" t="s">
        <v>104</v>
      </c>
      <c r="O17" s="101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20"/>
    </row>
    <row r="18" spans="1:32" s="17" customFormat="1" ht="13.5" customHeight="1" thickBot="1">
      <c r="A18" s="203"/>
      <c r="B18" s="94"/>
      <c r="C18" s="95"/>
      <c r="D18" s="233" t="s">
        <v>117</v>
      </c>
      <c r="E18" s="233"/>
      <c r="F18" s="233"/>
      <c r="G18" s="233"/>
      <c r="H18" s="103"/>
      <c r="I18" s="103"/>
      <c r="J18" s="103"/>
      <c r="K18" s="103"/>
      <c r="L18" s="103"/>
      <c r="M18" s="103"/>
      <c r="N18" s="103"/>
      <c r="O18" s="82" t="s">
        <v>104</v>
      </c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20"/>
    </row>
    <row r="19" spans="1:32" s="17" customFormat="1" ht="13.5" customHeight="1">
      <c r="A19" s="207" t="s">
        <v>54</v>
      </c>
      <c r="B19" s="210" t="s">
        <v>26</v>
      </c>
      <c r="C19" s="204"/>
      <c r="D19" s="204"/>
      <c r="E19" s="204"/>
      <c r="F19" s="204"/>
      <c r="G19" s="204"/>
      <c r="H19" s="25"/>
      <c r="I19" s="26"/>
      <c r="J19" s="26"/>
      <c r="K19" s="67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7"/>
    </row>
    <row r="20" spans="1:32" s="17" customFormat="1" ht="13.5" customHeight="1">
      <c r="A20" s="208"/>
      <c r="B20" s="28"/>
      <c r="C20" s="223" t="s">
        <v>120</v>
      </c>
      <c r="D20" s="223"/>
      <c r="E20" s="223"/>
      <c r="F20" s="223"/>
      <c r="G20" s="223"/>
      <c r="H20" s="77"/>
      <c r="I20" s="78"/>
      <c r="J20" s="78"/>
      <c r="K20" s="96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9"/>
    </row>
    <row r="21" spans="1:32" s="17" customFormat="1" ht="13.5" customHeight="1">
      <c r="A21" s="208"/>
      <c r="B21" s="28"/>
      <c r="C21" s="97"/>
      <c r="D21" s="234" t="s">
        <v>121</v>
      </c>
      <c r="E21" s="234"/>
      <c r="F21" s="234"/>
      <c r="G21" s="234"/>
      <c r="H21" s="82" t="s">
        <v>104</v>
      </c>
      <c r="I21" s="101"/>
      <c r="J21" s="101"/>
      <c r="K21" s="101"/>
      <c r="L21" s="101"/>
      <c r="M21" s="101"/>
      <c r="N21" s="101"/>
      <c r="O21" s="101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9"/>
    </row>
    <row r="22" spans="1:32" s="17" customFormat="1" ht="13.5" customHeight="1">
      <c r="A22" s="208"/>
      <c r="B22" s="28"/>
      <c r="C22" s="98"/>
      <c r="D22" s="234" t="s">
        <v>122</v>
      </c>
      <c r="E22" s="234"/>
      <c r="F22" s="234"/>
      <c r="G22" s="234"/>
      <c r="H22" s="101"/>
      <c r="I22" s="101"/>
      <c r="J22" s="82" t="s">
        <v>104</v>
      </c>
      <c r="K22" s="101"/>
      <c r="L22" s="101"/>
      <c r="M22" s="101"/>
      <c r="N22" s="101"/>
      <c r="O22" s="101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9"/>
    </row>
    <row r="23" spans="1:32" s="17" customFormat="1" ht="13.5" customHeight="1">
      <c r="A23" s="208"/>
      <c r="B23" s="28"/>
      <c r="C23" s="98"/>
      <c r="D23" s="234" t="s">
        <v>123</v>
      </c>
      <c r="E23" s="234"/>
      <c r="F23" s="234"/>
      <c r="G23" s="234"/>
      <c r="H23" s="101"/>
      <c r="I23" s="82" t="s">
        <v>104</v>
      </c>
      <c r="J23" s="101"/>
      <c r="K23" s="101"/>
      <c r="L23" s="101"/>
      <c r="M23" s="101"/>
      <c r="N23" s="101"/>
      <c r="O23" s="101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9"/>
    </row>
    <row r="24" spans="1:32" s="17" customFormat="1" ht="13.5" customHeight="1">
      <c r="A24" s="208"/>
      <c r="B24" s="28"/>
      <c r="C24" s="98"/>
      <c r="D24" s="234" t="s">
        <v>124</v>
      </c>
      <c r="E24" s="234"/>
      <c r="F24" s="234"/>
      <c r="G24" s="234"/>
      <c r="H24" s="101"/>
      <c r="I24" s="101"/>
      <c r="J24" s="101"/>
      <c r="K24" s="82" t="s">
        <v>104</v>
      </c>
      <c r="L24" s="101"/>
      <c r="M24" s="101"/>
      <c r="N24" s="101"/>
      <c r="O24" s="101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9"/>
    </row>
    <row r="25" spans="1:32" s="17" customFormat="1" ht="13.5" customHeight="1">
      <c r="A25" s="208"/>
      <c r="B25" s="28"/>
      <c r="C25" s="223" t="s">
        <v>125</v>
      </c>
      <c r="D25" s="223"/>
      <c r="E25" s="223"/>
      <c r="F25" s="223"/>
      <c r="G25" s="223"/>
      <c r="H25" s="101"/>
      <c r="I25" s="101"/>
      <c r="J25" s="101"/>
      <c r="K25" s="101"/>
      <c r="L25" s="82" t="s">
        <v>104</v>
      </c>
      <c r="M25" s="101"/>
      <c r="N25" s="101"/>
      <c r="O25" s="101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9"/>
    </row>
    <row r="26" spans="1:32" s="17" customFormat="1" ht="13.5" customHeight="1">
      <c r="A26" s="208"/>
      <c r="B26" s="28"/>
      <c r="C26" s="224" t="s">
        <v>126</v>
      </c>
      <c r="D26" s="225"/>
      <c r="E26" s="225"/>
      <c r="F26" s="225"/>
      <c r="G26" s="226"/>
      <c r="H26" s="101"/>
      <c r="I26" s="101"/>
      <c r="J26" s="101"/>
      <c r="K26" s="101"/>
      <c r="L26" s="101"/>
      <c r="M26" s="101"/>
      <c r="N26" s="101"/>
      <c r="O26" s="101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9"/>
    </row>
    <row r="27" spans="1:32" s="17" customFormat="1" ht="13.5" customHeight="1">
      <c r="A27" s="208"/>
      <c r="B27" s="28"/>
      <c r="C27" s="97"/>
      <c r="D27" s="224" t="s">
        <v>134</v>
      </c>
      <c r="E27" s="225"/>
      <c r="F27" s="225"/>
      <c r="G27" s="226"/>
      <c r="H27" s="101"/>
      <c r="I27" s="101"/>
      <c r="J27" s="101"/>
      <c r="K27" s="101"/>
      <c r="L27" s="82" t="s">
        <v>104</v>
      </c>
      <c r="M27" s="101"/>
      <c r="N27" s="101"/>
      <c r="O27" s="101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9"/>
    </row>
    <row r="28" spans="1:32" s="17" customFormat="1" ht="13.5" customHeight="1">
      <c r="A28" s="208"/>
      <c r="B28" s="28"/>
      <c r="C28" s="97"/>
      <c r="D28" s="224" t="s">
        <v>135</v>
      </c>
      <c r="E28" s="225"/>
      <c r="F28" s="225"/>
      <c r="G28" s="226"/>
      <c r="H28" s="101"/>
      <c r="I28" s="101"/>
      <c r="J28" s="101"/>
      <c r="K28" s="101"/>
      <c r="L28" s="82" t="s">
        <v>104</v>
      </c>
      <c r="M28" s="101"/>
      <c r="N28" s="101"/>
      <c r="O28" s="101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9"/>
    </row>
    <row r="29" spans="1:32" s="17" customFormat="1" ht="13.5" customHeight="1">
      <c r="A29" s="208"/>
      <c r="B29" s="28"/>
      <c r="C29" s="224" t="s">
        <v>127</v>
      </c>
      <c r="D29" s="225"/>
      <c r="E29" s="225"/>
      <c r="F29" s="225"/>
      <c r="G29" s="226"/>
      <c r="H29" s="101"/>
      <c r="I29" s="101"/>
      <c r="J29" s="101"/>
      <c r="K29" s="101"/>
      <c r="L29" s="82" t="s">
        <v>104</v>
      </c>
      <c r="M29" s="101"/>
      <c r="N29" s="101"/>
      <c r="O29" s="101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9"/>
    </row>
    <row r="30" spans="1:32" s="17" customFormat="1" ht="13.5" customHeight="1">
      <c r="A30" s="208"/>
      <c r="B30" s="28"/>
      <c r="C30" s="224" t="s">
        <v>128</v>
      </c>
      <c r="D30" s="225"/>
      <c r="E30" s="225"/>
      <c r="F30" s="225"/>
      <c r="G30" s="226"/>
      <c r="H30" s="101"/>
      <c r="I30" s="101"/>
      <c r="J30" s="101"/>
      <c r="K30" s="101"/>
      <c r="L30" s="82" t="s">
        <v>104</v>
      </c>
      <c r="M30" s="101"/>
      <c r="N30" s="101"/>
      <c r="O30" s="101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9"/>
    </row>
    <row r="31" spans="1:32" s="17" customFormat="1" ht="13.5" customHeight="1">
      <c r="A31" s="208"/>
      <c r="B31" s="28"/>
      <c r="C31" s="223" t="s">
        <v>129</v>
      </c>
      <c r="D31" s="223"/>
      <c r="E31" s="223"/>
      <c r="F31" s="223"/>
      <c r="G31" s="223"/>
      <c r="H31" s="101"/>
      <c r="I31" s="101"/>
      <c r="J31" s="101"/>
      <c r="K31" s="101"/>
      <c r="L31" s="101"/>
      <c r="M31" s="82" t="s">
        <v>104</v>
      </c>
      <c r="N31" s="82" t="s">
        <v>104</v>
      </c>
      <c r="O31" s="82" t="s">
        <v>104</v>
      </c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9"/>
    </row>
    <row r="32" spans="1:32" s="17" customFormat="1" ht="13.5" customHeight="1">
      <c r="A32" s="208"/>
      <c r="B32" s="28"/>
      <c r="C32" s="223" t="s">
        <v>130</v>
      </c>
      <c r="D32" s="223"/>
      <c r="E32" s="223"/>
      <c r="F32" s="223"/>
      <c r="G32" s="223"/>
      <c r="H32" s="101"/>
      <c r="I32" s="101"/>
      <c r="J32" s="101"/>
      <c r="K32" s="101"/>
      <c r="L32" s="101"/>
      <c r="M32" s="101"/>
      <c r="N32" s="101"/>
      <c r="O32" s="101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9"/>
    </row>
    <row r="33" spans="1:32" s="17" customFormat="1" ht="13.5" customHeight="1">
      <c r="A33" s="208"/>
      <c r="B33" s="28"/>
      <c r="C33" s="97"/>
      <c r="D33" s="224" t="s">
        <v>131</v>
      </c>
      <c r="E33" s="225"/>
      <c r="F33" s="225"/>
      <c r="G33" s="226"/>
      <c r="H33" s="101"/>
      <c r="I33" s="101"/>
      <c r="J33" s="101"/>
      <c r="K33" s="101"/>
      <c r="L33" s="101"/>
      <c r="M33" s="82" t="s">
        <v>104</v>
      </c>
      <c r="N33" s="101"/>
      <c r="O33" s="101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9"/>
    </row>
    <row r="34" spans="1:32" s="17" customFormat="1" ht="13.5" customHeight="1">
      <c r="A34" s="208"/>
      <c r="B34" s="28"/>
      <c r="C34" s="99"/>
      <c r="D34" s="224" t="s">
        <v>132</v>
      </c>
      <c r="E34" s="225"/>
      <c r="F34" s="225"/>
      <c r="G34" s="226"/>
      <c r="H34" s="101"/>
      <c r="I34" s="101"/>
      <c r="J34" s="101"/>
      <c r="K34" s="101"/>
      <c r="L34" s="101"/>
      <c r="M34" s="101"/>
      <c r="N34" s="82" t="s">
        <v>104</v>
      </c>
      <c r="O34" s="101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9"/>
    </row>
    <row r="35" spans="1:32" s="17" customFormat="1" ht="13.5" customHeight="1" thickBot="1">
      <c r="A35" s="208"/>
      <c r="B35" s="28"/>
      <c r="C35" s="100"/>
      <c r="D35" s="227" t="s">
        <v>133</v>
      </c>
      <c r="E35" s="227"/>
      <c r="F35" s="227"/>
      <c r="G35" s="228"/>
      <c r="H35" s="103"/>
      <c r="I35" s="103"/>
      <c r="J35" s="103"/>
      <c r="K35" s="103"/>
      <c r="L35" s="103"/>
      <c r="M35" s="103"/>
      <c r="N35" s="103"/>
      <c r="O35" s="82" t="s">
        <v>104</v>
      </c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9"/>
    </row>
    <row r="36" spans="1:32" s="17" customFormat="1" ht="24" customHeight="1">
      <c r="A36" s="193" t="s">
        <v>55</v>
      </c>
      <c r="B36" s="195"/>
      <c r="C36" s="196"/>
      <c r="D36" s="196"/>
      <c r="E36" s="196"/>
      <c r="F36" s="197"/>
      <c r="G36" s="35" t="s">
        <v>44</v>
      </c>
      <c r="H36" s="36" t="s">
        <v>136</v>
      </c>
      <c r="I36" s="36" t="s">
        <v>136</v>
      </c>
      <c r="J36" s="36" t="s">
        <v>136</v>
      </c>
      <c r="K36" s="36" t="s">
        <v>136</v>
      </c>
      <c r="L36" s="36" t="s">
        <v>136</v>
      </c>
      <c r="M36" s="37" t="s">
        <v>137</v>
      </c>
      <c r="N36" s="37" t="s">
        <v>137</v>
      </c>
      <c r="O36" s="37" t="s">
        <v>137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8"/>
    </row>
    <row r="37" spans="1:32" s="17" customFormat="1" ht="27" customHeight="1">
      <c r="A37" s="194"/>
      <c r="B37" s="198"/>
      <c r="C37" s="199"/>
      <c r="D37" s="199"/>
      <c r="E37" s="199"/>
      <c r="F37" s="200"/>
      <c r="G37" s="39" t="s">
        <v>45</v>
      </c>
      <c r="H37" s="40" t="s">
        <v>138</v>
      </c>
      <c r="I37" s="40" t="s">
        <v>138</v>
      </c>
      <c r="J37" s="40" t="s">
        <v>138</v>
      </c>
      <c r="K37" s="40" t="s">
        <v>138</v>
      </c>
      <c r="L37" s="40" t="s">
        <v>138</v>
      </c>
      <c r="M37" s="40" t="s">
        <v>138</v>
      </c>
      <c r="N37" s="40" t="s">
        <v>138</v>
      </c>
      <c r="O37" s="40" t="s">
        <v>138</v>
      </c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2"/>
    </row>
    <row r="38" spans="1:32" s="17" customFormat="1" ht="27" customHeight="1">
      <c r="A38" s="194"/>
      <c r="B38" s="198"/>
      <c r="C38" s="199"/>
      <c r="D38" s="199"/>
      <c r="E38" s="199"/>
      <c r="F38" s="200"/>
      <c r="G38" s="39" t="s">
        <v>46</v>
      </c>
      <c r="H38" s="43">
        <v>43712</v>
      </c>
      <c r="I38" s="43">
        <v>43712</v>
      </c>
      <c r="J38" s="43">
        <v>43712</v>
      </c>
      <c r="K38" s="43">
        <v>43712</v>
      </c>
      <c r="L38" s="43">
        <v>43712</v>
      </c>
      <c r="M38" s="43">
        <v>43712</v>
      </c>
      <c r="N38" s="43">
        <v>43712</v>
      </c>
      <c r="O38" s="43">
        <v>43712</v>
      </c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5"/>
    </row>
    <row r="39" spans="1:32" s="17" customFormat="1" ht="24.75" customHeight="1">
      <c r="A39" s="194"/>
      <c r="B39" s="198" t="s">
        <v>105</v>
      </c>
      <c r="C39" s="199"/>
      <c r="D39" s="199"/>
      <c r="E39" s="199"/>
      <c r="F39" s="200"/>
      <c r="G39" s="46" t="s">
        <v>1</v>
      </c>
      <c r="H39" s="40" t="s">
        <v>139</v>
      </c>
      <c r="I39" s="40" t="s">
        <v>139</v>
      </c>
      <c r="J39" s="40" t="s">
        <v>139</v>
      </c>
      <c r="K39" s="40" t="s">
        <v>139</v>
      </c>
      <c r="L39" s="40" t="s">
        <v>139</v>
      </c>
      <c r="M39" s="40" t="s">
        <v>139</v>
      </c>
      <c r="N39" s="40" t="s">
        <v>139</v>
      </c>
      <c r="O39" s="40" t="s">
        <v>139</v>
      </c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2"/>
    </row>
    <row r="40" spans="1:32" s="17" customFormat="1" ht="24.75" customHeight="1">
      <c r="A40" s="171" t="s">
        <v>56</v>
      </c>
      <c r="B40" s="173" t="s">
        <v>48</v>
      </c>
      <c r="C40" s="173"/>
      <c r="D40" s="173"/>
      <c r="E40" s="173"/>
      <c r="F40" s="174" t="str">
        <f>GetBugSheetName()</f>
        <v>Page_Load_</v>
      </c>
      <c r="G40" s="175"/>
      <c r="H40" s="60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4"/>
    </row>
    <row r="41" spans="1:32" s="17" customFormat="1" ht="36" customHeight="1" thickBot="1">
      <c r="A41" s="172"/>
      <c r="B41" s="176" t="s">
        <v>31</v>
      </c>
      <c r="C41" s="177"/>
      <c r="D41" s="177"/>
      <c r="E41" s="178"/>
      <c r="F41" s="176"/>
      <c r="G41" s="179"/>
      <c r="H41" s="61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 t="str">
        <f t="shared" ref="S41:AF41" si="1">IF(S40="","",(SUM(LEN(S40)-LEN(SUBSTITUTE(S40,",","")))/LEN(",")) + 1 )</f>
        <v/>
      </c>
      <c r="T41" s="55" t="str">
        <f t="shared" si="1"/>
        <v/>
      </c>
      <c r="U41" s="55" t="str">
        <f t="shared" si="1"/>
        <v/>
      </c>
      <c r="V41" s="55" t="str">
        <f t="shared" si="1"/>
        <v/>
      </c>
      <c r="W41" s="55" t="str">
        <f t="shared" si="1"/>
        <v/>
      </c>
      <c r="X41" s="55" t="str">
        <f t="shared" si="1"/>
        <v/>
      </c>
      <c r="Y41" s="55" t="str">
        <f t="shared" si="1"/>
        <v/>
      </c>
      <c r="Z41" s="55" t="str">
        <f t="shared" si="1"/>
        <v/>
      </c>
      <c r="AA41" s="55" t="str">
        <f t="shared" si="1"/>
        <v/>
      </c>
      <c r="AB41" s="55" t="str">
        <f t="shared" si="1"/>
        <v/>
      </c>
      <c r="AC41" s="55" t="str">
        <f t="shared" si="1"/>
        <v/>
      </c>
      <c r="AD41" s="55" t="str">
        <f t="shared" si="1"/>
        <v/>
      </c>
      <c r="AE41" s="55" t="str">
        <f t="shared" si="1"/>
        <v/>
      </c>
      <c r="AF41" s="56" t="str">
        <f t="shared" si="1"/>
        <v/>
      </c>
    </row>
    <row r="42" spans="1:32" s="17" customFormat="1">
      <c r="H42" s="47"/>
      <c r="I42" s="47"/>
      <c r="J42" s="47"/>
      <c r="K42" s="47"/>
      <c r="L42" s="47"/>
      <c r="M42" s="47"/>
      <c r="N42" s="48"/>
      <c r="O42" s="49"/>
      <c r="P42" s="47"/>
      <c r="Q42" s="47"/>
      <c r="R42" s="47"/>
      <c r="S42" s="47"/>
      <c r="T42" s="47"/>
      <c r="U42" s="47"/>
      <c r="V42" s="47"/>
    </row>
  </sheetData>
  <sheetProtection insertRows="0"/>
  <protectedRanges>
    <protectedRange sqref="B19:G19 B20:B35" name="Range2_1"/>
    <protectedRange sqref="B1:O2 P2 T1 AC1:AF2" name="Range1_1"/>
    <protectedRange sqref="H36:AF40" name="Range3_1_1"/>
    <protectedRange sqref="H4:AF4 I6:AF18 H19:AF20 P5:AF5 P21:AF35" name="Range2_1_1"/>
    <protectedRange sqref="N10" name="Range2_1_1_2"/>
    <protectedRange sqref="I5" name="Range2_1_2"/>
    <protectedRange sqref="J5" name="Range2_1_2_1"/>
    <protectedRange sqref="H5" name="Range2_1_2_2"/>
    <protectedRange sqref="K5" name="Range2_1_2_3"/>
    <protectedRange sqref="L5" name="Range2_1_2_4"/>
    <protectedRange sqref="M5" name="Range2_1_2_5"/>
    <protectedRange sqref="N5" name="Range2_1_2_6"/>
    <protectedRange sqref="O5" name="Range2_1_2_7"/>
    <protectedRange sqref="H7" name="Range2_1_2_8"/>
    <protectedRange sqref="J7" name="Range2_1_2_9"/>
    <protectedRange sqref="I9" name="Range2_1_2_10"/>
    <protectedRange sqref="K8" name="Range2_1_2_11"/>
    <protectedRange sqref="L9" name="Range2_1_2_12"/>
    <protectedRange sqref="I11" name="Range2_1_2_13"/>
    <protectedRange sqref="H11" name="Range2_1_2_14"/>
    <protectedRange sqref="K12" name="Range2_1_2_15"/>
    <protectedRange sqref="J13" name="Range2_1_2_16"/>
    <protectedRange sqref="L13" name="Range2_1_2_17"/>
    <protectedRange sqref="H14" name="Range2_1_2_18"/>
    <protectedRange sqref="I14" name="Range2_1_2_19"/>
    <protectedRange sqref="J14" name="Range2_1_2_20"/>
    <protectedRange sqref="K14" name="Range2_1_2_21"/>
    <protectedRange sqref="L14" name="Range2_1_2_22"/>
    <protectedRange sqref="M14" name="Range2_1_2_23"/>
    <protectedRange sqref="N14" name="Range2_1_2_24"/>
    <protectedRange sqref="O14" name="Range2_1_2_25"/>
    <protectedRange sqref="M16" name="Range2_1_2_26"/>
    <protectedRange sqref="N17" name="Range2_1_2_27"/>
    <protectedRange sqref="O18" name="Range2_1_2_28"/>
    <protectedRange sqref="H21" name="Range2_1_2_29"/>
    <protectedRange sqref="J22" name="Range2_1_2_30"/>
    <protectedRange sqref="I23" name="Range2_1_2_31"/>
    <protectedRange sqref="K24" name="Range2_1_2_32"/>
    <protectedRange sqref="L25" name="Range2_1_2_33"/>
    <protectedRange sqref="L27" name="Range2_1_2_34"/>
    <protectedRange sqref="L28" name="Range2_1_2_35"/>
    <protectedRange sqref="L29:L30" name="Range2_1_2_36"/>
    <protectedRange sqref="M31" name="Range2_1_2_37"/>
    <protectedRange sqref="N31" name="Range2_1_2_38"/>
    <protectedRange sqref="O31" name="Range2_1_2_39"/>
    <protectedRange sqref="M33" name="Range2_1_2_40"/>
    <protectedRange sqref="N34" name="Range2_1_2_41"/>
    <protectedRange sqref="O35" name="Range2_1_2_42"/>
  </protectedRanges>
  <mergeCells count="56"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A4:A18"/>
    <mergeCell ref="B4:G4"/>
    <mergeCell ref="B5:G5"/>
    <mergeCell ref="B2:E2"/>
    <mergeCell ref="F2:H2"/>
    <mergeCell ref="I2:O2"/>
    <mergeCell ref="A36:A39"/>
    <mergeCell ref="B36:F36"/>
    <mergeCell ref="B37:F37"/>
    <mergeCell ref="B38:F38"/>
    <mergeCell ref="B39:F39"/>
    <mergeCell ref="A40:A41"/>
    <mergeCell ref="B40:E40"/>
    <mergeCell ref="F40:G40"/>
    <mergeCell ref="B41:E41"/>
    <mergeCell ref="F41:G41"/>
    <mergeCell ref="A19:A35"/>
    <mergeCell ref="D28:G28"/>
    <mergeCell ref="C29:G29"/>
    <mergeCell ref="C30:G30"/>
    <mergeCell ref="C31:G31"/>
    <mergeCell ref="C26:G26"/>
    <mergeCell ref="D27:G27"/>
    <mergeCell ref="B19:G19"/>
    <mergeCell ref="D23:G23"/>
    <mergeCell ref="D24:G24"/>
    <mergeCell ref="C25:G25"/>
    <mergeCell ref="D12:G12"/>
    <mergeCell ref="D13:G13"/>
    <mergeCell ref="C14:G14"/>
    <mergeCell ref="C15:G15"/>
    <mergeCell ref="C6:G6"/>
    <mergeCell ref="D7:G7"/>
    <mergeCell ref="D8:G8"/>
    <mergeCell ref="D9:G9"/>
    <mergeCell ref="C10:G10"/>
    <mergeCell ref="D11:G11"/>
    <mergeCell ref="C32:G32"/>
    <mergeCell ref="D33:G33"/>
    <mergeCell ref="D34:G34"/>
    <mergeCell ref="D35:G35"/>
    <mergeCell ref="D16:G16"/>
    <mergeCell ref="D17:G17"/>
    <mergeCell ref="D18:G18"/>
    <mergeCell ref="C20:G20"/>
    <mergeCell ref="D21:G21"/>
    <mergeCell ref="D22:G22"/>
  </mergeCells>
  <phoneticPr fontId="4"/>
  <conditionalFormatting sqref="H3:AF41">
    <cfRule type="expression" dxfId="889" priority="602" stopIfTrue="1">
      <formula>H$39="NA"</formula>
    </cfRule>
    <cfRule type="expression" dxfId="888" priority="603" stopIfTrue="1">
      <formula>H$39="NG"</formula>
    </cfRule>
  </conditionalFormatting>
  <conditionalFormatting sqref="H14:I14 H15:O18 J13 L13:O14 H6:H13 J9:J10 K10:O12 I9:I13 I6:J8 L6:O9 K6:K7">
    <cfRule type="expression" dxfId="887" priority="524" stopIfTrue="1">
      <formula>#REF!="NA"</formula>
    </cfRule>
    <cfRule type="expression" dxfId="886" priority="525" stopIfTrue="1">
      <formula>#REF!="NG"</formula>
    </cfRule>
  </conditionalFormatting>
  <conditionalFormatting sqref="N10">
    <cfRule type="expression" dxfId="885" priority="521" stopIfTrue="1">
      <formula>#REF!="NG"</formula>
    </cfRule>
    <cfRule type="expression" dxfId="884" priority="522" stopIfTrue="1">
      <formula>N$36="NA"</formula>
    </cfRule>
    <cfRule type="expression" dxfId="883" priority="523" stopIfTrue="1">
      <formula>N$36="NG"</formula>
    </cfRule>
  </conditionalFormatting>
  <conditionalFormatting sqref="N10">
    <cfRule type="expression" dxfId="882" priority="519" stopIfTrue="1">
      <formula>N$40="NA"</formula>
    </cfRule>
    <cfRule type="expression" dxfId="881" priority="520" stopIfTrue="1">
      <formula>N$40="NG"</formula>
    </cfRule>
  </conditionalFormatting>
  <conditionalFormatting sqref="I5">
    <cfRule type="expression" dxfId="880" priority="516" stopIfTrue="1">
      <formula>#REF!="NG"</formula>
    </cfRule>
    <cfRule type="expression" dxfId="879" priority="517" stopIfTrue="1">
      <formula>I$36="NA"</formula>
    </cfRule>
    <cfRule type="expression" dxfId="878" priority="518" stopIfTrue="1">
      <formula>I$36="NG"</formula>
    </cfRule>
  </conditionalFormatting>
  <conditionalFormatting sqref="I5">
    <cfRule type="expression" dxfId="877" priority="514" stopIfTrue="1">
      <formula>I$40="NA"</formula>
    </cfRule>
    <cfRule type="expression" dxfId="876" priority="515" stopIfTrue="1">
      <formula>I$40="NG"</formula>
    </cfRule>
  </conditionalFormatting>
  <conditionalFormatting sqref="I5">
    <cfRule type="expression" dxfId="875" priority="512" stopIfTrue="1">
      <formula>I$40="NA"</formula>
    </cfRule>
    <cfRule type="expression" dxfId="874" priority="513" stopIfTrue="1">
      <formula>I$40="NG"</formula>
    </cfRule>
  </conditionalFormatting>
  <conditionalFormatting sqref="I5">
    <cfRule type="expression" dxfId="873" priority="509" stopIfTrue="1">
      <formula>#REF!="NG"</formula>
    </cfRule>
    <cfRule type="expression" dxfId="872" priority="510" stopIfTrue="1">
      <formula>I$23="NA"</formula>
    </cfRule>
    <cfRule type="expression" dxfId="871" priority="511" stopIfTrue="1">
      <formula>I$23="NG"</formula>
    </cfRule>
  </conditionalFormatting>
  <conditionalFormatting sqref="I5">
    <cfRule type="expression" dxfId="870" priority="507" stopIfTrue="1">
      <formula>#REF!="NA"</formula>
    </cfRule>
    <cfRule type="expression" dxfId="869" priority="508" stopIfTrue="1">
      <formula>#REF!="NG"</formula>
    </cfRule>
  </conditionalFormatting>
  <conditionalFormatting sqref="J5">
    <cfRule type="expression" dxfId="868" priority="504" stopIfTrue="1">
      <formula>#REF!="NG"</formula>
    </cfRule>
    <cfRule type="expression" dxfId="867" priority="505" stopIfTrue="1">
      <formula>J$36="NA"</formula>
    </cfRule>
    <cfRule type="expression" dxfId="866" priority="506" stopIfTrue="1">
      <formula>J$36="NG"</formula>
    </cfRule>
  </conditionalFormatting>
  <conditionalFormatting sqref="J5">
    <cfRule type="expression" dxfId="865" priority="502" stopIfTrue="1">
      <formula>J$40="NA"</formula>
    </cfRule>
    <cfRule type="expression" dxfId="864" priority="503" stopIfTrue="1">
      <formula>J$40="NG"</formula>
    </cfRule>
  </conditionalFormatting>
  <conditionalFormatting sqref="J5">
    <cfRule type="expression" dxfId="863" priority="500" stopIfTrue="1">
      <formula>J$40="NA"</formula>
    </cfRule>
    <cfRule type="expression" dxfId="862" priority="501" stopIfTrue="1">
      <formula>J$40="NG"</formula>
    </cfRule>
  </conditionalFormatting>
  <conditionalFormatting sqref="J5">
    <cfRule type="expression" dxfId="861" priority="497" stopIfTrue="1">
      <formula>#REF!="NG"</formula>
    </cfRule>
    <cfRule type="expression" dxfId="860" priority="498" stopIfTrue="1">
      <formula>J$23="NA"</formula>
    </cfRule>
    <cfRule type="expression" dxfId="859" priority="499" stopIfTrue="1">
      <formula>J$23="NG"</formula>
    </cfRule>
  </conditionalFormatting>
  <conditionalFormatting sqref="J5">
    <cfRule type="expression" dxfId="858" priority="495" stopIfTrue="1">
      <formula>#REF!="NA"</formula>
    </cfRule>
    <cfRule type="expression" dxfId="857" priority="496" stopIfTrue="1">
      <formula>#REF!="NG"</formula>
    </cfRule>
  </conditionalFormatting>
  <conditionalFormatting sqref="H5">
    <cfRule type="expression" dxfId="856" priority="492" stopIfTrue="1">
      <formula>#REF!="NG"</formula>
    </cfRule>
    <cfRule type="expression" dxfId="855" priority="493" stopIfTrue="1">
      <formula>H$36="NA"</formula>
    </cfRule>
    <cfRule type="expression" dxfId="854" priority="494" stopIfTrue="1">
      <formula>H$36="NG"</formula>
    </cfRule>
  </conditionalFormatting>
  <conditionalFormatting sqref="H5">
    <cfRule type="expression" dxfId="853" priority="490" stopIfTrue="1">
      <formula>H$40="NA"</formula>
    </cfRule>
    <cfRule type="expression" dxfId="852" priority="491" stopIfTrue="1">
      <formula>H$40="NG"</formula>
    </cfRule>
  </conditionalFormatting>
  <conditionalFormatting sqref="H5">
    <cfRule type="expression" dxfId="851" priority="488" stopIfTrue="1">
      <formula>H$40="NA"</formula>
    </cfRule>
    <cfRule type="expression" dxfId="850" priority="489" stopIfTrue="1">
      <formula>H$40="NG"</formula>
    </cfRule>
  </conditionalFormatting>
  <conditionalFormatting sqref="H5">
    <cfRule type="expression" dxfId="849" priority="485" stopIfTrue="1">
      <formula>#REF!="NG"</formula>
    </cfRule>
    <cfRule type="expression" dxfId="848" priority="486" stopIfTrue="1">
      <formula>H$23="NA"</formula>
    </cfRule>
    <cfRule type="expression" dxfId="847" priority="487" stopIfTrue="1">
      <formula>H$23="NG"</formula>
    </cfRule>
  </conditionalFormatting>
  <conditionalFormatting sqref="H5">
    <cfRule type="expression" dxfId="846" priority="483" stopIfTrue="1">
      <formula>#REF!="NA"</formula>
    </cfRule>
    <cfRule type="expression" dxfId="845" priority="484" stopIfTrue="1">
      <formula>#REF!="NG"</formula>
    </cfRule>
  </conditionalFormatting>
  <conditionalFormatting sqref="K5">
    <cfRule type="expression" dxfId="844" priority="480" stopIfTrue="1">
      <formula>#REF!="NG"</formula>
    </cfRule>
    <cfRule type="expression" dxfId="843" priority="481" stopIfTrue="1">
      <formula>K$36="NA"</formula>
    </cfRule>
    <cfRule type="expression" dxfId="842" priority="482" stopIfTrue="1">
      <formula>K$36="NG"</formula>
    </cfRule>
  </conditionalFormatting>
  <conditionalFormatting sqref="K5">
    <cfRule type="expression" dxfId="841" priority="478" stopIfTrue="1">
      <formula>K$40="NA"</formula>
    </cfRule>
    <cfRule type="expression" dxfId="840" priority="479" stopIfTrue="1">
      <formula>K$40="NG"</formula>
    </cfRule>
  </conditionalFormatting>
  <conditionalFormatting sqref="K5">
    <cfRule type="expression" dxfId="839" priority="476" stopIfTrue="1">
      <formula>K$40="NA"</formula>
    </cfRule>
    <cfRule type="expression" dxfId="838" priority="477" stopIfTrue="1">
      <formula>K$40="NG"</formula>
    </cfRule>
  </conditionalFormatting>
  <conditionalFormatting sqref="K5">
    <cfRule type="expression" dxfId="837" priority="473" stopIfTrue="1">
      <formula>#REF!="NG"</formula>
    </cfRule>
    <cfRule type="expression" dxfId="836" priority="474" stopIfTrue="1">
      <formula>K$23="NA"</formula>
    </cfRule>
    <cfRule type="expression" dxfId="835" priority="475" stopIfTrue="1">
      <formula>K$23="NG"</formula>
    </cfRule>
  </conditionalFormatting>
  <conditionalFormatting sqref="K5">
    <cfRule type="expression" dxfId="834" priority="471" stopIfTrue="1">
      <formula>#REF!="NA"</formula>
    </cfRule>
    <cfRule type="expression" dxfId="833" priority="472" stopIfTrue="1">
      <formula>#REF!="NG"</formula>
    </cfRule>
  </conditionalFormatting>
  <conditionalFormatting sqref="L5">
    <cfRule type="expression" dxfId="832" priority="468" stopIfTrue="1">
      <formula>#REF!="NG"</formula>
    </cfRule>
    <cfRule type="expression" dxfId="831" priority="469" stopIfTrue="1">
      <formula>L$36="NA"</formula>
    </cfRule>
    <cfRule type="expression" dxfId="830" priority="470" stopIfTrue="1">
      <formula>L$36="NG"</formula>
    </cfRule>
  </conditionalFormatting>
  <conditionalFormatting sqref="L5">
    <cfRule type="expression" dxfId="829" priority="466" stopIfTrue="1">
      <formula>L$40="NA"</formula>
    </cfRule>
    <cfRule type="expression" dxfId="828" priority="467" stopIfTrue="1">
      <formula>L$40="NG"</formula>
    </cfRule>
  </conditionalFormatting>
  <conditionalFormatting sqref="L5">
    <cfRule type="expression" dxfId="827" priority="464" stopIfTrue="1">
      <formula>L$40="NA"</formula>
    </cfRule>
    <cfRule type="expression" dxfId="826" priority="465" stopIfTrue="1">
      <formula>L$40="NG"</formula>
    </cfRule>
  </conditionalFormatting>
  <conditionalFormatting sqref="L5">
    <cfRule type="expression" dxfId="825" priority="461" stopIfTrue="1">
      <formula>#REF!="NG"</formula>
    </cfRule>
    <cfRule type="expression" dxfId="824" priority="462" stopIfTrue="1">
      <formula>L$23="NA"</formula>
    </cfRule>
    <cfRule type="expression" dxfId="823" priority="463" stopIfTrue="1">
      <formula>L$23="NG"</formula>
    </cfRule>
  </conditionalFormatting>
  <conditionalFormatting sqref="L5">
    <cfRule type="expression" dxfId="822" priority="459" stopIfTrue="1">
      <formula>#REF!="NA"</formula>
    </cfRule>
    <cfRule type="expression" dxfId="821" priority="460" stopIfTrue="1">
      <formula>#REF!="NG"</formula>
    </cfRule>
  </conditionalFormatting>
  <conditionalFormatting sqref="M5">
    <cfRule type="expression" dxfId="820" priority="456" stopIfTrue="1">
      <formula>#REF!="NG"</formula>
    </cfRule>
    <cfRule type="expression" dxfId="819" priority="457" stopIfTrue="1">
      <formula>M$36="NA"</formula>
    </cfRule>
    <cfRule type="expression" dxfId="818" priority="458" stopIfTrue="1">
      <formula>M$36="NG"</formula>
    </cfRule>
  </conditionalFormatting>
  <conditionalFormatting sqref="M5">
    <cfRule type="expression" dxfId="817" priority="454" stopIfTrue="1">
      <formula>M$40="NA"</formula>
    </cfRule>
    <cfRule type="expression" dxfId="816" priority="455" stopIfTrue="1">
      <formula>M$40="NG"</formula>
    </cfRule>
  </conditionalFormatting>
  <conditionalFormatting sqref="M5">
    <cfRule type="expression" dxfId="815" priority="452" stopIfTrue="1">
      <formula>M$40="NA"</formula>
    </cfRule>
    <cfRule type="expression" dxfId="814" priority="453" stopIfTrue="1">
      <formula>M$40="NG"</formula>
    </cfRule>
  </conditionalFormatting>
  <conditionalFormatting sqref="M5">
    <cfRule type="expression" dxfId="813" priority="449" stopIfTrue="1">
      <formula>#REF!="NG"</formula>
    </cfRule>
    <cfRule type="expression" dxfId="812" priority="450" stopIfTrue="1">
      <formula>M$23="NA"</formula>
    </cfRule>
    <cfRule type="expression" dxfId="811" priority="451" stopIfTrue="1">
      <formula>M$23="NG"</formula>
    </cfRule>
  </conditionalFormatting>
  <conditionalFormatting sqref="M5">
    <cfRule type="expression" dxfId="810" priority="447" stopIfTrue="1">
      <formula>#REF!="NA"</formula>
    </cfRule>
    <cfRule type="expression" dxfId="809" priority="448" stopIfTrue="1">
      <formula>#REF!="NG"</formula>
    </cfRule>
  </conditionalFormatting>
  <conditionalFormatting sqref="N5">
    <cfRule type="expression" dxfId="808" priority="444" stopIfTrue="1">
      <formula>#REF!="NG"</formula>
    </cfRule>
    <cfRule type="expression" dxfId="807" priority="445" stopIfTrue="1">
      <formula>N$36="NA"</formula>
    </cfRule>
    <cfRule type="expression" dxfId="806" priority="446" stopIfTrue="1">
      <formula>N$36="NG"</formula>
    </cfRule>
  </conditionalFormatting>
  <conditionalFormatting sqref="N5">
    <cfRule type="expression" dxfId="805" priority="442" stopIfTrue="1">
      <formula>N$40="NA"</formula>
    </cfRule>
    <cfRule type="expression" dxfId="804" priority="443" stopIfTrue="1">
      <formula>N$40="NG"</formula>
    </cfRule>
  </conditionalFormatting>
  <conditionalFormatting sqref="N5">
    <cfRule type="expression" dxfId="803" priority="440" stopIfTrue="1">
      <formula>N$40="NA"</formula>
    </cfRule>
    <cfRule type="expression" dxfId="802" priority="441" stopIfTrue="1">
      <formula>N$40="NG"</formula>
    </cfRule>
  </conditionalFormatting>
  <conditionalFormatting sqref="N5">
    <cfRule type="expression" dxfId="801" priority="437" stopIfTrue="1">
      <formula>#REF!="NG"</formula>
    </cfRule>
    <cfRule type="expression" dxfId="800" priority="438" stopIfTrue="1">
      <formula>N$23="NA"</formula>
    </cfRule>
    <cfRule type="expression" dxfId="799" priority="439" stopIfTrue="1">
      <formula>N$23="NG"</formula>
    </cfRule>
  </conditionalFormatting>
  <conditionalFormatting sqref="N5">
    <cfRule type="expression" dxfId="798" priority="435" stopIfTrue="1">
      <formula>#REF!="NA"</formula>
    </cfRule>
    <cfRule type="expression" dxfId="797" priority="436" stopIfTrue="1">
      <formula>#REF!="NG"</formula>
    </cfRule>
  </conditionalFormatting>
  <conditionalFormatting sqref="O5">
    <cfRule type="expression" dxfId="796" priority="432" stopIfTrue="1">
      <formula>#REF!="NG"</formula>
    </cfRule>
    <cfRule type="expression" dxfId="795" priority="433" stopIfTrue="1">
      <formula>O$36="NA"</formula>
    </cfRule>
    <cfRule type="expression" dxfId="794" priority="434" stopIfTrue="1">
      <formula>O$36="NG"</formula>
    </cfRule>
  </conditionalFormatting>
  <conditionalFormatting sqref="O5">
    <cfRule type="expression" dxfId="793" priority="430" stopIfTrue="1">
      <formula>O$40="NA"</formula>
    </cfRule>
    <cfRule type="expression" dxfId="792" priority="431" stopIfTrue="1">
      <formula>O$40="NG"</formula>
    </cfRule>
  </conditionalFormatting>
  <conditionalFormatting sqref="O5">
    <cfRule type="expression" dxfId="791" priority="428" stopIfTrue="1">
      <formula>O$40="NA"</formula>
    </cfRule>
    <cfRule type="expression" dxfId="790" priority="429" stopIfTrue="1">
      <formula>O$40="NG"</formula>
    </cfRule>
  </conditionalFormatting>
  <conditionalFormatting sqref="O5">
    <cfRule type="expression" dxfId="789" priority="425" stopIfTrue="1">
      <formula>#REF!="NG"</formula>
    </cfRule>
    <cfRule type="expression" dxfId="788" priority="426" stopIfTrue="1">
      <formula>O$23="NA"</formula>
    </cfRule>
    <cfRule type="expression" dxfId="787" priority="427" stopIfTrue="1">
      <formula>O$23="NG"</formula>
    </cfRule>
  </conditionalFormatting>
  <conditionalFormatting sqref="O5">
    <cfRule type="expression" dxfId="786" priority="423" stopIfTrue="1">
      <formula>#REF!="NA"</formula>
    </cfRule>
    <cfRule type="expression" dxfId="785" priority="424" stopIfTrue="1">
      <formula>#REF!="NG"</formula>
    </cfRule>
  </conditionalFormatting>
  <conditionalFormatting sqref="H7">
    <cfRule type="expression" dxfId="784" priority="420" stopIfTrue="1">
      <formula>#REF!="NG"</formula>
    </cfRule>
    <cfRule type="expression" dxfId="783" priority="421" stopIfTrue="1">
      <formula>H$36="NA"</formula>
    </cfRule>
    <cfRule type="expression" dxfId="782" priority="422" stopIfTrue="1">
      <formula>H$36="NG"</formula>
    </cfRule>
  </conditionalFormatting>
  <conditionalFormatting sqref="H7">
    <cfRule type="expression" dxfId="781" priority="418" stopIfTrue="1">
      <formula>H$40="NA"</formula>
    </cfRule>
    <cfRule type="expression" dxfId="780" priority="419" stopIfTrue="1">
      <formula>H$40="NG"</formula>
    </cfRule>
  </conditionalFormatting>
  <conditionalFormatting sqref="H7">
    <cfRule type="expression" dxfId="779" priority="416" stopIfTrue="1">
      <formula>H$40="NA"</formula>
    </cfRule>
    <cfRule type="expression" dxfId="778" priority="417" stopIfTrue="1">
      <formula>H$40="NG"</formula>
    </cfRule>
  </conditionalFormatting>
  <conditionalFormatting sqref="H7">
    <cfRule type="expression" dxfId="777" priority="413" stopIfTrue="1">
      <formula>#REF!="NG"</formula>
    </cfRule>
    <cfRule type="expression" dxfId="776" priority="414" stopIfTrue="1">
      <formula>H$23="NA"</formula>
    </cfRule>
    <cfRule type="expression" dxfId="775" priority="415" stopIfTrue="1">
      <formula>H$23="NG"</formula>
    </cfRule>
  </conditionalFormatting>
  <conditionalFormatting sqref="H7">
    <cfRule type="expression" dxfId="774" priority="411" stopIfTrue="1">
      <formula>#REF!="NA"</formula>
    </cfRule>
    <cfRule type="expression" dxfId="773" priority="412" stopIfTrue="1">
      <formula>#REF!="NG"</formula>
    </cfRule>
  </conditionalFormatting>
  <conditionalFormatting sqref="J7">
    <cfRule type="expression" dxfId="772" priority="408" stopIfTrue="1">
      <formula>#REF!="NG"</formula>
    </cfRule>
    <cfRule type="expression" dxfId="771" priority="409" stopIfTrue="1">
      <formula>J$36="NA"</formula>
    </cfRule>
    <cfRule type="expression" dxfId="770" priority="410" stopIfTrue="1">
      <formula>J$36="NG"</formula>
    </cfRule>
  </conditionalFormatting>
  <conditionalFormatting sqref="J7">
    <cfRule type="expression" dxfId="769" priority="406" stopIfTrue="1">
      <formula>J$40="NA"</formula>
    </cfRule>
    <cfRule type="expression" dxfId="768" priority="407" stopIfTrue="1">
      <formula>J$40="NG"</formula>
    </cfRule>
  </conditionalFormatting>
  <conditionalFormatting sqref="J7">
    <cfRule type="expression" dxfId="767" priority="404" stopIfTrue="1">
      <formula>J$40="NA"</formula>
    </cfRule>
    <cfRule type="expression" dxfId="766" priority="405" stopIfTrue="1">
      <formula>J$40="NG"</formula>
    </cfRule>
  </conditionalFormatting>
  <conditionalFormatting sqref="J7">
    <cfRule type="expression" dxfId="765" priority="401" stopIfTrue="1">
      <formula>#REF!="NG"</formula>
    </cfRule>
    <cfRule type="expression" dxfId="764" priority="402" stopIfTrue="1">
      <formula>J$23="NA"</formula>
    </cfRule>
    <cfRule type="expression" dxfId="763" priority="403" stopIfTrue="1">
      <formula>J$23="NG"</formula>
    </cfRule>
  </conditionalFormatting>
  <conditionalFormatting sqref="J7">
    <cfRule type="expression" dxfId="762" priority="399" stopIfTrue="1">
      <formula>#REF!="NA"</formula>
    </cfRule>
    <cfRule type="expression" dxfId="761" priority="400" stopIfTrue="1">
      <formula>#REF!="NG"</formula>
    </cfRule>
  </conditionalFormatting>
  <conditionalFormatting sqref="I9">
    <cfRule type="expression" dxfId="760" priority="396" stopIfTrue="1">
      <formula>#REF!="NG"</formula>
    </cfRule>
    <cfRule type="expression" dxfId="759" priority="397" stopIfTrue="1">
      <formula>I$36="NA"</formula>
    </cfRule>
    <cfRule type="expression" dxfId="758" priority="398" stopIfTrue="1">
      <formula>I$36="NG"</formula>
    </cfRule>
  </conditionalFormatting>
  <conditionalFormatting sqref="I9">
    <cfRule type="expression" dxfId="757" priority="394" stopIfTrue="1">
      <formula>I$40="NA"</formula>
    </cfRule>
    <cfRule type="expression" dxfId="756" priority="395" stopIfTrue="1">
      <formula>I$40="NG"</formula>
    </cfRule>
  </conditionalFormatting>
  <conditionalFormatting sqref="I9">
    <cfRule type="expression" dxfId="755" priority="392" stopIfTrue="1">
      <formula>I$40="NA"</formula>
    </cfRule>
    <cfRule type="expression" dxfId="754" priority="393" stopIfTrue="1">
      <formula>I$40="NG"</formula>
    </cfRule>
  </conditionalFormatting>
  <conditionalFormatting sqref="I9">
    <cfRule type="expression" dxfId="753" priority="389" stopIfTrue="1">
      <formula>#REF!="NG"</formula>
    </cfRule>
    <cfRule type="expression" dxfId="752" priority="390" stopIfTrue="1">
      <formula>I$23="NA"</formula>
    </cfRule>
    <cfRule type="expression" dxfId="751" priority="391" stopIfTrue="1">
      <formula>I$23="NG"</formula>
    </cfRule>
  </conditionalFormatting>
  <conditionalFormatting sqref="I9">
    <cfRule type="expression" dxfId="750" priority="387" stopIfTrue="1">
      <formula>#REF!="NA"</formula>
    </cfRule>
    <cfRule type="expression" dxfId="749" priority="388" stopIfTrue="1">
      <formula>#REF!="NG"</formula>
    </cfRule>
  </conditionalFormatting>
  <conditionalFormatting sqref="K8">
    <cfRule type="expression" dxfId="748" priority="384" stopIfTrue="1">
      <formula>#REF!="NG"</formula>
    </cfRule>
    <cfRule type="expression" dxfId="747" priority="385" stopIfTrue="1">
      <formula>K$36="NA"</formula>
    </cfRule>
    <cfRule type="expression" dxfId="746" priority="386" stopIfTrue="1">
      <formula>K$36="NG"</formula>
    </cfRule>
  </conditionalFormatting>
  <conditionalFormatting sqref="K8">
    <cfRule type="expression" dxfId="745" priority="382" stopIfTrue="1">
      <formula>K$40="NA"</formula>
    </cfRule>
    <cfRule type="expression" dxfId="744" priority="383" stopIfTrue="1">
      <formula>K$40="NG"</formula>
    </cfRule>
  </conditionalFormatting>
  <conditionalFormatting sqref="K8">
    <cfRule type="expression" dxfId="743" priority="380" stopIfTrue="1">
      <formula>K$40="NA"</formula>
    </cfRule>
    <cfRule type="expression" dxfId="742" priority="381" stopIfTrue="1">
      <formula>K$40="NG"</formula>
    </cfRule>
  </conditionalFormatting>
  <conditionalFormatting sqref="K8">
    <cfRule type="expression" dxfId="741" priority="377" stopIfTrue="1">
      <formula>#REF!="NG"</formula>
    </cfRule>
    <cfRule type="expression" dxfId="740" priority="378" stopIfTrue="1">
      <formula>K$23="NA"</formula>
    </cfRule>
    <cfRule type="expression" dxfId="739" priority="379" stopIfTrue="1">
      <formula>K$23="NG"</formula>
    </cfRule>
  </conditionalFormatting>
  <conditionalFormatting sqref="K8">
    <cfRule type="expression" dxfId="738" priority="375" stopIfTrue="1">
      <formula>#REF!="NA"</formula>
    </cfRule>
    <cfRule type="expression" dxfId="737" priority="376" stopIfTrue="1">
      <formula>#REF!="NG"</formula>
    </cfRule>
  </conditionalFormatting>
  <conditionalFormatting sqref="L9">
    <cfRule type="expression" dxfId="736" priority="372" stopIfTrue="1">
      <formula>#REF!="NG"</formula>
    </cfRule>
    <cfRule type="expression" dxfId="735" priority="373" stopIfTrue="1">
      <formula>L$36="NA"</formula>
    </cfRule>
    <cfRule type="expression" dxfId="734" priority="374" stopIfTrue="1">
      <formula>L$36="NG"</formula>
    </cfRule>
  </conditionalFormatting>
  <conditionalFormatting sqref="L9">
    <cfRule type="expression" dxfId="733" priority="370" stopIfTrue="1">
      <formula>L$40="NA"</formula>
    </cfRule>
    <cfRule type="expression" dxfId="732" priority="371" stopIfTrue="1">
      <formula>L$40="NG"</formula>
    </cfRule>
  </conditionalFormatting>
  <conditionalFormatting sqref="L9">
    <cfRule type="expression" dxfId="731" priority="368" stopIfTrue="1">
      <formula>L$40="NA"</formula>
    </cfRule>
    <cfRule type="expression" dxfId="730" priority="369" stopIfTrue="1">
      <formula>L$40="NG"</formula>
    </cfRule>
  </conditionalFormatting>
  <conditionalFormatting sqref="L9">
    <cfRule type="expression" dxfId="729" priority="365" stopIfTrue="1">
      <formula>#REF!="NG"</formula>
    </cfRule>
    <cfRule type="expression" dxfId="728" priority="366" stopIfTrue="1">
      <formula>L$23="NA"</formula>
    </cfRule>
    <cfRule type="expression" dxfId="727" priority="367" stopIfTrue="1">
      <formula>L$23="NG"</formula>
    </cfRule>
  </conditionalFormatting>
  <conditionalFormatting sqref="L9">
    <cfRule type="expression" dxfId="726" priority="363" stopIfTrue="1">
      <formula>#REF!="NA"</formula>
    </cfRule>
    <cfRule type="expression" dxfId="725" priority="364" stopIfTrue="1">
      <formula>#REF!="NG"</formula>
    </cfRule>
  </conditionalFormatting>
  <conditionalFormatting sqref="I11">
    <cfRule type="expression" dxfId="724" priority="360" stopIfTrue="1">
      <formula>#REF!="NG"</formula>
    </cfRule>
    <cfRule type="expression" dxfId="723" priority="361" stopIfTrue="1">
      <formula>I$36="NA"</formula>
    </cfRule>
    <cfRule type="expression" dxfId="722" priority="362" stopIfTrue="1">
      <formula>I$36="NG"</formula>
    </cfRule>
  </conditionalFormatting>
  <conditionalFormatting sqref="I11">
    <cfRule type="expression" dxfId="721" priority="358" stopIfTrue="1">
      <formula>I$40="NA"</formula>
    </cfRule>
    <cfRule type="expression" dxfId="720" priority="359" stopIfTrue="1">
      <formula>I$40="NG"</formula>
    </cfRule>
  </conditionalFormatting>
  <conditionalFormatting sqref="I11">
    <cfRule type="expression" dxfId="719" priority="356" stopIfTrue="1">
      <formula>I$40="NA"</formula>
    </cfRule>
    <cfRule type="expression" dxfId="718" priority="357" stopIfTrue="1">
      <formula>I$40="NG"</formula>
    </cfRule>
  </conditionalFormatting>
  <conditionalFormatting sqref="I11">
    <cfRule type="expression" dxfId="717" priority="353" stopIfTrue="1">
      <formula>#REF!="NG"</formula>
    </cfRule>
    <cfRule type="expression" dxfId="716" priority="354" stopIfTrue="1">
      <formula>I$23="NA"</formula>
    </cfRule>
    <cfRule type="expression" dxfId="715" priority="355" stopIfTrue="1">
      <formula>I$23="NG"</formula>
    </cfRule>
  </conditionalFormatting>
  <conditionalFormatting sqref="I11">
    <cfRule type="expression" dxfId="714" priority="351" stopIfTrue="1">
      <formula>#REF!="NA"</formula>
    </cfRule>
    <cfRule type="expression" dxfId="713" priority="352" stopIfTrue="1">
      <formula>#REF!="NG"</formula>
    </cfRule>
  </conditionalFormatting>
  <conditionalFormatting sqref="H11">
    <cfRule type="expression" dxfId="712" priority="348" stopIfTrue="1">
      <formula>#REF!="NG"</formula>
    </cfRule>
    <cfRule type="expression" dxfId="711" priority="349" stopIfTrue="1">
      <formula>H$36="NA"</formula>
    </cfRule>
    <cfRule type="expression" dxfId="710" priority="350" stopIfTrue="1">
      <formula>H$36="NG"</formula>
    </cfRule>
  </conditionalFormatting>
  <conditionalFormatting sqref="H11">
    <cfRule type="expression" dxfId="709" priority="346" stopIfTrue="1">
      <formula>H$40="NA"</formula>
    </cfRule>
    <cfRule type="expression" dxfId="708" priority="347" stopIfTrue="1">
      <formula>H$40="NG"</formula>
    </cfRule>
  </conditionalFormatting>
  <conditionalFormatting sqref="H11">
    <cfRule type="expression" dxfId="707" priority="344" stopIfTrue="1">
      <formula>H$40="NA"</formula>
    </cfRule>
    <cfRule type="expression" dxfId="706" priority="345" stopIfTrue="1">
      <formula>H$40="NG"</formula>
    </cfRule>
  </conditionalFormatting>
  <conditionalFormatting sqref="H11">
    <cfRule type="expression" dxfId="705" priority="341" stopIfTrue="1">
      <formula>#REF!="NG"</formula>
    </cfRule>
    <cfRule type="expression" dxfId="704" priority="342" stopIfTrue="1">
      <formula>H$23="NA"</formula>
    </cfRule>
    <cfRule type="expression" dxfId="703" priority="343" stopIfTrue="1">
      <formula>H$23="NG"</formula>
    </cfRule>
  </conditionalFormatting>
  <conditionalFormatting sqref="H11">
    <cfRule type="expression" dxfId="702" priority="339" stopIfTrue="1">
      <formula>#REF!="NA"</formula>
    </cfRule>
    <cfRule type="expression" dxfId="701" priority="340" stopIfTrue="1">
      <formula>#REF!="NG"</formula>
    </cfRule>
  </conditionalFormatting>
  <conditionalFormatting sqref="K12">
    <cfRule type="expression" dxfId="700" priority="336" stopIfTrue="1">
      <formula>#REF!="NG"</formula>
    </cfRule>
    <cfRule type="expression" dxfId="699" priority="337" stopIfTrue="1">
      <formula>K$36="NA"</formula>
    </cfRule>
    <cfRule type="expression" dxfId="698" priority="338" stopIfTrue="1">
      <formula>K$36="NG"</formula>
    </cfRule>
  </conditionalFormatting>
  <conditionalFormatting sqref="K12">
    <cfRule type="expression" dxfId="697" priority="334" stopIfTrue="1">
      <formula>K$40="NA"</formula>
    </cfRule>
    <cfRule type="expression" dxfId="696" priority="335" stopIfTrue="1">
      <formula>K$40="NG"</formula>
    </cfRule>
  </conditionalFormatting>
  <conditionalFormatting sqref="K12">
    <cfRule type="expression" dxfId="695" priority="332" stopIfTrue="1">
      <formula>K$40="NA"</formula>
    </cfRule>
    <cfRule type="expression" dxfId="694" priority="333" stopIfTrue="1">
      <formula>K$40="NG"</formula>
    </cfRule>
  </conditionalFormatting>
  <conditionalFormatting sqref="K12">
    <cfRule type="expression" dxfId="693" priority="329" stopIfTrue="1">
      <formula>#REF!="NG"</formula>
    </cfRule>
    <cfRule type="expression" dxfId="692" priority="330" stopIfTrue="1">
      <formula>K$23="NA"</formula>
    </cfRule>
    <cfRule type="expression" dxfId="691" priority="331" stopIfTrue="1">
      <formula>K$23="NG"</formula>
    </cfRule>
  </conditionalFormatting>
  <conditionalFormatting sqref="K12">
    <cfRule type="expression" dxfId="690" priority="327" stopIfTrue="1">
      <formula>#REF!="NA"</formula>
    </cfRule>
    <cfRule type="expression" dxfId="689" priority="328" stopIfTrue="1">
      <formula>#REF!="NG"</formula>
    </cfRule>
  </conditionalFormatting>
  <conditionalFormatting sqref="J13">
    <cfRule type="expression" dxfId="688" priority="324" stopIfTrue="1">
      <formula>#REF!="NG"</formula>
    </cfRule>
    <cfRule type="expression" dxfId="687" priority="325" stopIfTrue="1">
      <formula>J$36="NA"</formula>
    </cfRule>
    <cfRule type="expression" dxfId="686" priority="326" stopIfTrue="1">
      <formula>J$36="NG"</formula>
    </cfRule>
  </conditionalFormatting>
  <conditionalFormatting sqref="J13">
    <cfRule type="expression" dxfId="685" priority="322" stopIfTrue="1">
      <formula>J$40="NA"</formula>
    </cfRule>
    <cfRule type="expression" dxfId="684" priority="323" stopIfTrue="1">
      <formula>J$40="NG"</formula>
    </cfRule>
  </conditionalFormatting>
  <conditionalFormatting sqref="J13">
    <cfRule type="expression" dxfId="683" priority="320" stopIfTrue="1">
      <formula>J$40="NA"</formula>
    </cfRule>
    <cfRule type="expression" dxfId="682" priority="321" stopIfTrue="1">
      <formula>J$40="NG"</formula>
    </cfRule>
  </conditionalFormatting>
  <conditionalFormatting sqref="J13">
    <cfRule type="expression" dxfId="681" priority="317" stopIfTrue="1">
      <formula>#REF!="NG"</formula>
    </cfRule>
    <cfRule type="expression" dxfId="680" priority="318" stopIfTrue="1">
      <formula>J$23="NA"</formula>
    </cfRule>
    <cfRule type="expression" dxfId="679" priority="319" stopIfTrue="1">
      <formula>J$23="NG"</formula>
    </cfRule>
  </conditionalFormatting>
  <conditionalFormatting sqref="J13">
    <cfRule type="expression" dxfId="678" priority="315" stopIfTrue="1">
      <formula>#REF!="NA"</formula>
    </cfRule>
    <cfRule type="expression" dxfId="677" priority="316" stopIfTrue="1">
      <formula>#REF!="NG"</formula>
    </cfRule>
  </conditionalFormatting>
  <conditionalFormatting sqref="L13">
    <cfRule type="expression" dxfId="676" priority="312" stopIfTrue="1">
      <formula>#REF!="NG"</formula>
    </cfRule>
    <cfRule type="expression" dxfId="675" priority="313" stopIfTrue="1">
      <formula>L$36="NA"</formula>
    </cfRule>
    <cfRule type="expression" dxfId="674" priority="314" stopIfTrue="1">
      <formula>L$36="NG"</formula>
    </cfRule>
  </conditionalFormatting>
  <conditionalFormatting sqref="L13">
    <cfRule type="expression" dxfId="673" priority="310" stopIfTrue="1">
      <formula>L$40="NA"</formula>
    </cfRule>
    <cfRule type="expression" dxfId="672" priority="311" stopIfTrue="1">
      <formula>L$40="NG"</formula>
    </cfRule>
  </conditionalFormatting>
  <conditionalFormatting sqref="L13">
    <cfRule type="expression" dxfId="671" priority="308" stopIfTrue="1">
      <formula>L$40="NA"</formula>
    </cfRule>
    <cfRule type="expression" dxfId="670" priority="309" stopIfTrue="1">
      <formula>L$40="NG"</formula>
    </cfRule>
  </conditionalFormatting>
  <conditionalFormatting sqref="L13">
    <cfRule type="expression" dxfId="669" priority="305" stopIfTrue="1">
      <formula>#REF!="NG"</formula>
    </cfRule>
    <cfRule type="expression" dxfId="668" priority="306" stopIfTrue="1">
      <formula>L$23="NA"</formula>
    </cfRule>
    <cfRule type="expression" dxfId="667" priority="307" stopIfTrue="1">
      <formula>L$23="NG"</formula>
    </cfRule>
  </conditionalFormatting>
  <conditionalFormatting sqref="L13">
    <cfRule type="expression" dxfId="666" priority="303" stopIfTrue="1">
      <formula>#REF!="NA"</formula>
    </cfRule>
    <cfRule type="expression" dxfId="665" priority="304" stopIfTrue="1">
      <formula>#REF!="NG"</formula>
    </cfRule>
  </conditionalFormatting>
  <conditionalFormatting sqref="H14">
    <cfRule type="expression" dxfId="664" priority="300" stopIfTrue="1">
      <formula>#REF!="NG"</formula>
    </cfRule>
    <cfRule type="expression" dxfId="663" priority="301" stopIfTrue="1">
      <formula>H$36="NA"</formula>
    </cfRule>
    <cfRule type="expression" dxfId="662" priority="302" stopIfTrue="1">
      <formula>H$36="NG"</formula>
    </cfRule>
  </conditionalFormatting>
  <conditionalFormatting sqref="H14">
    <cfRule type="expression" dxfId="661" priority="298" stopIfTrue="1">
      <formula>H$40="NA"</formula>
    </cfRule>
    <cfRule type="expression" dxfId="660" priority="299" stopIfTrue="1">
      <formula>H$40="NG"</formula>
    </cfRule>
  </conditionalFormatting>
  <conditionalFormatting sqref="H14">
    <cfRule type="expression" dxfId="659" priority="296" stopIfTrue="1">
      <formula>H$40="NA"</formula>
    </cfRule>
    <cfRule type="expression" dxfId="658" priority="297" stopIfTrue="1">
      <formula>H$40="NG"</formula>
    </cfRule>
  </conditionalFormatting>
  <conditionalFormatting sqref="H14">
    <cfRule type="expression" dxfId="657" priority="293" stopIfTrue="1">
      <formula>#REF!="NG"</formula>
    </cfRule>
    <cfRule type="expression" dxfId="656" priority="294" stopIfTrue="1">
      <formula>H$23="NA"</formula>
    </cfRule>
    <cfRule type="expression" dxfId="655" priority="295" stopIfTrue="1">
      <formula>H$23="NG"</formula>
    </cfRule>
  </conditionalFormatting>
  <conditionalFormatting sqref="H14">
    <cfRule type="expression" dxfId="654" priority="291" stopIfTrue="1">
      <formula>#REF!="NA"</formula>
    </cfRule>
    <cfRule type="expression" dxfId="653" priority="292" stopIfTrue="1">
      <formula>#REF!="NG"</formula>
    </cfRule>
  </conditionalFormatting>
  <conditionalFormatting sqref="I14">
    <cfRule type="expression" dxfId="652" priority="288" stopIfTrue="1">
      <formula>#REF!="NG"</formula>
    </cfRule>
    <cfRule type="expression" dxfId="651" priority="289" stopIfTrue="1">
      <formula>I$36="NA"</formula>
    </cfRule>
    <cfRule type="expression" dxfId="650" priority="290" stopIfTrue="1">
      <formula>I$36="NG"</formula>
    </cfRule>
  </conditionalFormatting>
  <conditionalFormatting sqref="I14">
    <cfRule type="expression" dxfId="649" priority="286" stopIfTrue="1">
      <formula>I$40="NA"</formula>
    </cfRule>
    <cfRule type="expression" dxfId="648" priority="287" stopIfTrue="1">
      <formula>I$40="NG"</formula>
    </cfRule>
  </conditionalFormatting>
  <conditionalFormatting sqref="I14">
    <cfRule type="expression" dxfId="647" priority="284" stopIfTrue="1">
      <formula>I$40="NA"</formula>
    </cfRule>
    <cfRule type="expression" dxfId="646" priority="285" stopIfTrue="1">
      <formula>I$40="NG"</formula>
    </cfRule>
  </conditionalFormatting>
  <conditionalFormatting sqref="I14">
    <cfRule type="expression" dxfId="645" priority="281" stopIfTrue="1">
      <formula>#REF!="NG"</formula>
    </cfRule>
    <cfRule type="expression" dxfId="644" priority="282" stopIfTrue="1">
      <formula>I$23="NA"</formula>
    </cfRule>
    <cfRule type="expression" dxfId="643" priority="283" stopIfTrue="1">
      <formula>I$23="NG"</formula>
    </cfRule>
  </conditionalFormatting>
  <conditionalFormatting sqref="I14">
    <cfRule type="expression" dxfId="642" priority="279" stopIfTrue="1">
      <formula>#REF!="NA"</formula>
    </cfRule>
    <cfRule type="expression" dxfId="641" priority="280" stopIfTrue="1">
      <formula>#REF!="NG"</formula>
    </cfRule>
  </conditionalFormatting>
  <conditionalFormatting sqref="J14">
    <cfRule type="expression" dxfId="640" priority="276" stopIfTrue="1">
      <formula>#REF!="NG"</formula>
    </cfRule>
    <cfRule type="expression" dxfId="639" priority="277" stopIfTrue="1">
      <formula>J$36="NA"</formula>
    </cfRule>
    <cfRule type="expression" dxfId="638" priority="278" stopIfTrue="1">
      <formula>J$36="NG"</formula>
    </cfRule>
  </conditionalFormatting>
  <conditionalFormatting sqref="J14">
    <cfRule type="expression" dxfId="637" priority="274" stopIfTrue="1">
      <formula>J$40="NA"</formula>
    </cfRule>
    <cfRule type="expression" dxfId="636" priority="275" stopIfTrue="1">
      <formula>J$40="NG"</formula>
    </cfRule>
  </conditionalFormatting>
  <conditionalFormatting sqref="J14">
    <cfRule type="expression" dxfId="635" priority="272" stopIfTrue="1">
      <formula>J$40="NA"</formula>
    </cfRule>
    <cfRule type="expression" dxfId="634" priority="273" stopIfTrue="1">
      <formula>J$40="NG"</formula>
    </cfRule>
  </conditionalFormatting>
  <conditionalFormatting sqref="J14">
    <cfRule type="expression" dxfId="633" priority="269" stopIfTrue="1">
      <formula>#REF!="NG"</formula>
    </cfRule>
    <cfRule type="expression" dxfId="632" priority="270" stopIfTrue="1">
      <formula>J$23="NA"</formula>
    </cfRule>
    <cfRule type="expression" dxfId="631" priority="271" stopIfTrue="1">
      <formula>J$23="NG"</formula>
    </cfRule>
  </conditionalFormatting>
  <conditionalFormatting sqref="J14">
    <cfRule type="expression" dxfId="630" priority="267" stopIfTrue="1">
      <formula>#REF!="NA"</formula>
    </cfRule>
    <cfRule type="expression" dxfId="629" priority="268" stopIfTrue="1">
      <formula>#REF!="NG"</formula>
    </cfRule>
  </conditionalFormatting>
  <conditionalFormatting sqref="K14">
    <cfRule type="expression" dxfId="628" priority="264" stopIfTrue="1">
      <formula>#REF!="NG"</formula>
    </cfRule>
    <cfRule type="expression" dxfId="627" priority="265" stopIfTrue="1">
      <formula>K$36="NA"</formula>
    </cfRule>
    <cfRule type="expression" dxfId="626" priority="266" stopIfTrue="1">
      <formula>K$36="NG"</formula>
    </cfRule>
  </conditionalFormatting>
  <conditionalFormatting sqref="K14">
    <cfRule type="expression" dxfId="625" priority="262" stopIfTrue="1">
      <formula>K$40="NA"</formula>
    </cfRule>
    <cfRule type="expression" dxfId="624" priority="263" stopIfTrue="1">
      <formula>K$40="NG"</formula>
    </cfRule>
  </conditionalFormatting>
  <conditionalFormatting sqref="K14">
    <cfRule type="expression" dxfId="623" priority="260" stopIfTrue="1">
      <formula>K$40="NA"</formula>
    </cfRule>
    <cfRule type="expression" dxfId="622" priority="261" stopIfTrue="1">
      <formula>K$40="NG"</formula>
    </cfRule>
  </conditionalFormatting>
  <conditionalFormatting sqref="K14">
    <cfRule type="expression" dxfId="621" priority="257" stopIfTrue="1">
      <formula>#REF!="NG"</formula>
    </cfRule>
    <cfRule type="expression" dxfId="620" priority="258" stopIfTrue="1">
      <formula>K$23="NA"</formula>
    </cfRule>
    <cfRule type="expression" dxfId="619" priority="259" stopIfTrue="1">
      <formula>K$23="NG"</formula>
    </cfRule>
  </conditionalFormatting>
  <conditionalFormatting sqref="K14">
    <cfRule type="expression" dxfId="618" priority="255" stopIfTrue="1">
      <formula>#REF!="NA"</formula>
    </cfRule>
    <cfRule type="expression" dxfId="617" priority="256" stopIfTrue="1">
      <formula>#REF!="NG"</formula>
    </cfRule>
  </conditionalFormatting>
  <conditionalFormatting sqref="L14">
    <cfRule type="expression" dxfId="616" priority="252" stopIfTrue="1">
      <formula>#REF!="NG"</formula>
    </cfRule>
    <cfRule type="expression" dxfId="615" priority="253" stopIfTrue="1">
      <formula>L$36="NA"</formula>
    </cfRule>
    <cfRule type="expression" dxfId="614" priority="254" stopIfTrue="1">
      <formula>L$36="NG"</formula>
    </cfRule>
  </conditionalFormatting>
  <conditionalFormatting sqref="L14">
    <cfRule type="expression" dxfId="613" priority="250" stopIfTrue="1">
      <formula>L$40="NA"</formula>
    </cfRule>
    <cfRule type="expression" dxfId="612" priority="251" stopIfTrue="1">
      <formula>L$40="NG"</formula>
    </cfRule>
  </conditionalFormatting>
  <conditionalFormatting sqref="L14">
    <cfRule type="expression" dxfId="611" priority="248" stopIfTrue="1">
      <formula>L$40="NA"</formula>
    </cfRule>
    <cfRule type="expression" dxfId="610" priority="249" stopIfTrue="1">
      <formula>L$40="NG"</formula>
    </cfRule>
  </conditionalFormatting>
  <conditionalFormatting sqref="L14">
    <cfRule type="expression" dxfId="609" priority="245" stopIfTrue="1">
      <formula>#REF!="NG"</formula>
    </cfRule>
    <cfRule type="expression" dxfId="608" priority="246" stopIfTrue="1">
      <formula>L$23="NA"</formula>
    </cfRule>
    <cfRule type="expression" dxfId="607" priority="247" stopIfTrue="1">
      <formula>L$23="NG"</formula>
    </cfRule>
  </conditionalFormatting>
  <conditionalFormatting sqref="L14">
    <cfRule type="expression" dxfId="606" priority="243" stopIfTrue="1">
      <formula>#REF!="NA"</formula>
    </cfRule>
    <cfRule type="expression" dxfId="605" priority="244" stopIfTrue="1">
      <formula>#REF!="NG"</formula>
    </cfRule>
  </conditionalFormatting>
  <conditionalFormatting sqref="M14">
    <cfRule type="expression" dxfId="604" priority="240" stopIfTrue="1">
      <formula>#REF!="NG"</formula>
    </cfRule>
    <cfRule type="expression" dxfId="603" priority="241" stopIfTrue="1">
      <formula>M$36="NA"</formula>
    </cfRule>
    <cfRule type="expression" dxfId="602" priority="242" stopIfTrue="1">
      <formula>M$36="NG"</formula>
    </cfRule>
  </conditionalFormatting>
  <conditionalFormatting sqref="M14">
    <cfRule type="expression" dxfId="601" priority="238" stopIfTrue="1">
      <formula>M$40="NA"</formula>
    </cfRule>
    <cfRule type="expression" dxfId="600" priority="239" stopIfTrue="1">
      <formula>M$40="NG"</formula>
    </cfRule>
  </conditionalFormatting>
  <conditionalFormatting sqref="M14">
    <cfRule type="expression" dxfId="599" priority="236" stopIfTrue="1">
      <formula>M$40="NA"</formula>
    </cfRule>
    <cfRule type="expression" dxfId="598" priority="237" stopIfTrue="1">
      <formula>M$40="NG"</formula>
    </cfRule>
  </conditionalFormatting>
  <conditionalFormatting sqref="M14">
    <cfRule type="expression" dxfId="597" priority="233" stopIfTrue="1">
      <formula>#REF!="NG"</formula>
    </cfRule>
    <cfRule type="expression" dxfId="596" priority="234" stopIfTrue="1">
      <formula>M$23="NA"</formula>
    </cfRule>
    <cfRule type="expression" dxfId="595" priority="235" stopIfTrue="1">
      <formula>M$23="NG"</formula>
    </cfRule>
  </conditionalFormatting>
  <conditionalFormatting sqref="M14">
    <cfRule type="expression" dxfId="594" priority="231" stopIfTrue="1">
      <formula>#REF!="NA"</formula>
    </cfRule>
    <cfRule type="expression" dxfId="593" priority="232" stopIfTrue="1">
      <formula>#REF!="NG"</formula>
    </cfRule>
  </conditionalFormatting>
  <conditionalFormatting sqref="N14">
    <cfRule type="expression" dxfId="592" priority="228" stopIfTrue="1">
      <formula>#REF!="NG"</formula>
    </cfRule>
    <cfRule type="expression" dxfId="591" priority="229" stopIfTrue="1">
      <formula>N$36="NA"</formula>
    </cfRule>
    <cfRule type="expression" dxfId="590" priority="230" stopIfTrue="1">
      <formula>N$36="NG"</formula>
    </cfRule>
  </conditionalFormatting>
  <conditionalFormatting sqref="N14">
    <cfRule type="expression" dxfId="589" priority="226" stopIfTrue="1">
      <formula>N$40="NA"</formula>
    </cfRule>
    <cfRule type="expression" dxfId="588" priority="227" stopIfTrue="1">
      <formula>N$40="NG"</formula>
    </cfRule>
  </conditionalFormatting>
  <conditionalFormatting sqref="N14">
    <cfRule type="expression" dxfId="587" priority="224" stopIfTrue="1">
      <formula>N$40="NA"</formula>
    </cfRule>
    <cfRule type="expression" dxfId="586" priority="225" stopIfTrue="1">
      <formula>N$40="NG"</formula>
    </cfRule>
  </conditionalFormatting>
  <conditionalFormatting sqref="N14">
    <cfRule type="expression" dxfId="585" priority="221" stopIfTrue="1">
      <formula>#REF!="NG"</formula>
    </cfRule>
    <cfRule type="expression" dxfId="584" priority="222" stopIfTrue="1">
      <formula>N$23="NA"</formula>
    </cfRule>
    <cfRule type="expression" dxfId="583" priority="223" stopIfTrue="1">
      <formula>N$23="NG"</formula>
    </cfRule>
  </conditionalFormatting>
  <conditionalFormatting sqref="N14">
    <cfRule type="expression" dxfId="582" priority="219" stopIfTrue="1">
      <formula>#REF!="NA"</formula>
    </cfRule>
    <cfRule type="expression" dxfId="581" priority="220" stopIfTrue="1">
      <formula>#REF!="NG"</formula>
    </cfRule>
  </conditionalFormatting>
  <conditionalFormatting sqref="O14">
    <cfRule type="expression" dxfId="580" priority="216" stopIfTrue="1">
      <formula>#REF!="NG"</formula>
    </cfRule>
    <cfRule type="expression" dxfId="579" priority="217" stopIfTrue="1">
      <formula>O$36="NA"</formula>
    </cfRule>
    <cfRule type="expression" dxfId="578" priority="218" stopIfTrue="1">
      <formula>O$36="NG"</formula>
    </cfRule>
  </conditionalFormatting>
  <conditionalFormatting sqref="O14">
    <cfRule type="expression" dxfId="577" priority="214" stopIfTrue="1">
      <formula>O$40="NA"</formula>
    </cfRule>
    <cfRule type="expression" dxfId="576" priority="215" stopIfTrue="1">
      <formula>O$40="NG"</formula>
    </cfRule>
  </conditionalFormatting>
  <conditionalFormatting sqref="O14">
    <cfRule type="expression" dxfId="575" priority="212" stopIfTrue="1">
      <formula>O$40="NA"</formula>
    </cfRule>
    <cfRule type="expression" dxfId="574" priority="213" stopIfTrue="1">
      <formula>O$40="NG"</formula>
    </cfRule>
  </conditionalFormatting>
  <conditionalFormatting sqref="O14">
    <cfRule type="expression" dxfId="573" priority="209" stopIfTrue="1">
      <formula>#REF!="NG"</formula>
    </cfRule>
    <cfRule type="expression" dxfId="572" priority="210" stopIfTrue="1">
      <formula>O$23="NA"</formula>
    </cfRule>
    <cfRule type="expression" dxfId="571" priority="211" stopIfTrue="1">
      <formula>O$23="NG"</formula>
    </cfRule>
  </conditionalFormatting>
  <conditionalFormatting sqref="O14">
    <cfRule type="expression" dxfId="570" priority="207" stopIfTrue="1">
      <formula>#REF!="NA"</formula>
    </cfRule>
    <cfRule type="expression" dxfId="569" priority="208" stopIfTrue="1">
      <formula>#REF!="NG"</formula>
    </cfRule>
  </conditionalFormatting>
  <conditionalFormatting sqref="M16">
    <cfRule type="expression" dxfId="568" priority="204" stopIfTrue="1">
      <formula>#REF!="NG"</formula>
    </cfRule>
    <cfRule type="expression" dxfId="567" priority="205" stopIfTrue="1">
      <formula>M$36="NA"</formula>
    </cfRule>
    <cfRule type="expression" dxfId="566" priority="206" stopIfTrue="1">
      <formula>M$36="NG"</formula>
    </cfRule>
  </conditionalFormatting>
  <conditionalFormatting sqref="M16">
    <cfRule type="expression" dxfId="565" priority="202" stopIfTrue="1">
      <formula>M$40="NA"</formula>
    </cfRule>
    <cfRule type="expression" dxfId="564" priority="203" stopIfTrue="1">
      <formula>M$40="NG"</formula>
    </cfRule>
  </conditionalFormatting>
  <conditionalFormatting sqref="M16">
    <cfRule type="expression" dxfId="563" priority="200" stopIfTrue="1">
      <formula>M$40="NA"</formula>
    </cfRule>
    <cfRule type="expression" dxfId="562" priority="201" stopIfTrue="1">
      <formula>M$40="NG"</formula>
    </cfRule>
  </conditionalFormatting>
  <conditionalFormatting sqref="M16">
    <cfRule type="expression" dxfId="561" priority="197" stopIfTrue="1">
      <formula>#REF!="NG"</formula>
    </cfRule>
    <cfRule type="expression" dxfId="560" priority="198" stopIfTrue="1">
      <formula>M$23="NA"</formula>
    </cfRule>
    <cfRule type="expression" dxfId="559" priority="199" stopIfTrue="1">
      <formula>M$23="NG"</formula>
    </cfRule>
  </conditionalFormatting>
  <conditionalFormatting sqref="M16">
    <cfRule type="expression" dxfId="558" priority="195" stopIfTrue="1">
      <formula>#REF!="NA"</formula>
    </cfRule>
    <cfRule type="expression" dxfId="557" priority="196" stopIfTrue="1">
      <formula>#REF!="NG"</formula>
    </cfRule>
  </conditionalFormatting>
  <conditionalFormatting sqref="N17">
    <cfRule type="expression" dxfId="556" priority="192" stopIfTrue="1">
      <formula>#REF!="NG"</formula>
    </cfRule>
    <cfRule type="expression" dxfId="555" priority="193" stopIfTrue="1">
      <formula>N$36="NA"</formula>
    </cfRule>
    <cfRule type="expression" dxfId="554" priority="194" stopIfTrue="1">
      <formula>N$36="NG"</formula>
    </cfRule>
  </conditionalFormatting>
  <conditionalFormatting sqref="N17">
    <cfRule type="expression" dxfId="553" priority="190" stopIfTrue="1">
      <formula>N$40="NA"</formula>
    </cfRule>
    <cfRule type="expression" dxfId="552" priority="191" stopIfTrue="1">
      <formula>N$40="NG"</formula>
    </cfRule>
  </conditionalFormatting>
  <conditionalFormatting sqref="N17">
    <cfRule type="expression" dxfId="551" priority="188" stopIfTrue="1">
      <formula>N$40="NA"</formula>
    </cfRule>
    <cfRule type="expression" dxfId="550" priority="189" stopIfTrue="1">
      <formula>N$40="NG"</formula>
    </cfRule>
  </conditionalFormatting>
  <conditionalFormatting sqref="N17">
    <cfRule type="expression" dxfId="549" priority="185" stopIfTrue="1">
      <formula>#REF!="NG"</formula>
    </cfRule>
    <cfRule type="expression" dxfId="548" priority="186" stopIfTrue="1">
      <formula>N$23="NA"</formula>
    </cfRule>
    <cfRule type="expression" dxfId="547" priority="187" stopIfTrue="1">
      <formula>N$23="NG"</formula>
    </cfRule>
  </conditionalFormatting>
  <conditionalFormatting sqref="N17">
    <cfRule type="expression" dxfId="546" priority="183" stopIfTrue="1">
      <formula>#REF!="NA"</formula>
    </cfRule>
    <cfRule type="expression" dxfId="545" priority="184" stopIfTrue="1">
      <formula>#REF!="NG"</formula>
    </cfRule>
  </conditionalFormatting>
  <conditionalFormatting sqref="O18">
    <cfRule type="expression" dxfId="544" priority="180" stopIfTrue="1">
      <formula>#REF!="NG"</formula>
    </cfRule>
    <cfRule type="expression" dxfId="543" priority="181" stopIfTrue="1">
      <formula>O$36="NA"</formula>
    </cfRule>
    <cfRule type="expression" dxfId="542" priority="182" stopIfTrue="1">
      <formula>O$36="NG"</formula>
    </cfRule>
  </conditionalFormatting>
  <conditionalFormatting sqref="O18">
    <cfRule type="expression" dxfId="541" priority="178" stopIfTrue="1">
      <formula>O$40="NA"</formula>
    </cfRule>
    <cfRule type="expression" dxfId="540" priority="179" stopIfTrue="1">
      <formula>O$40="NG"</formula>
    </cfRule>
  </conditionalFormatting>
  <conditionalFormatting sqref="O18">
    <cfRule type="expression" dxfId="539" priority="176" stopIfTrue="1">
      <formula>O$40="NA"</formula>
    </cfRule>
    <cfRule type="expression" dxfId="538" priority="177" stopIfTrue="1">
      <formula>O$40="NG"</formula>
    </cfRule>
  </conditionalFormatting>
  <conditionalFormatting sqref="O18">
    <cfRule type="expression" dxfId="537" priority="173" stopIfTrue="1">
      <formula>#REF!="NG"</formula>
    </cfRule>
    <cfRule type="expression" dxfId="536" priority="174" stopIfTrue="1">
      <formula>O$23="NA"</formula>
    </cfRule>
    <cfRule type="expression" dxfId="535" priority="175" stopIfTrue="1">
      <formula>O$23="NG"</formula>
    </cfRule>
  </conditionalFormatting>
  <conditionalFormatting sqref="O18">
    <cfRule type="expression" dxfId="534" priority="171" stopIfTrue="1">
      <formula>#REF!="NA"</formula>
    </cfRule>
    <cfRule type="expression" dxfId="533" priority="172" stopIfTrue="1">
      <formula>#REF!="NG"</formula>
    </cfRule>
  </conditionalFormatting>
  <conditionalFormatting sqref="N23:O23 I23 K23:L23 H21:O21 H25:O35">
    <cfRule type="expression" dxfId="532" priority="169" stopIfTrue="1">
      <formula>#REF!="NA"</formula>
    </cfRule>
    <cfRule type="expression" dxfId="531" priority="170" stopIfTrue="1">
      <formula>#REF!="NG"</formula>
    </cfRule>
  </conditionalFormatting>
  <conditionalFormatting sqref="H21">
    <cfRule type="expression" dxfId="530" priority="166" stopIfTrue="1">
      <formula>#REF!="NG"</formula>
    </cfRule>
    <cfRule type="expression" dxfId="529" priority="167" stopIfTrue="1">
      <formula>H$36="NA"</formula>
    </cfRule>
    <cfRule type="expression" dxfId="528" priority="168" stopIfTrue="1">
      <formula>H$36="NG"</formula>
    </cfRule>
  </conditionalFormatting>
  <conditionalFormatting sqref="H21">
    <cfRule type="expression" dxfId="527" priority="164" stopIfTrue="1">
      <formula>H$40="NA"</formula>
    </cfRule>
    <cfRule type="expression" dxfId="526" priority="165" stopIfTrue="1">
      <formula>H$40="NG"</formula>
    </cfRule>
  </conditionalFormatting>
  <conditionalFormatting sqref="H21">
    <cfRule type="expression" dxfId="525" priority="162" stopIfTrue="1">
      <formula>H$40="NA"</formula>
    </cfRule>
    <cfRule type="expression" dxfId="524" priority="163" stopIfTrue="1">
      <formula>H$40="NG"</formula>
    </cfRule>
  </conditionalFormatting>
  <conditionalFormatting sqref="H21">
    <cfRule type="expression" dxfId="523" priority="159" stopIfTrue="1">
      <formula>#REF!="NG"</formula>
    </cfRule>
    <cfRule type="expression" dxfId="522" priority="160" stopIfTrue="1">
      <formula>H$23="NA"</formula>
    </cfRule>
    <cfRule type="expression" dxfId="521" priority="161" stopIfTrue="1">
      <formula>H$23="NG"</formula>
    </cfRule>
  </conditionalFormatting>
  <conditionalFormatting sqref="H21">
    <cfRule type="expression" dxfId="520" priority="157" stopIfTrue="1">
      <formula>#REF!="NA"</formula>
    </cfRule>
    <cfRule type="expression" dxfId="519" priority="158" stopIfTrue="1">
      <formula>#REF!="NG"</formula>
    </cfRule>
  </conditionalFormatting>
  <conditionalFormatting sqref="J22">
    <cfRule type="expression" dxfId="518" priority="154" stopIfTrue="1">
      <formula>#REF!="NG"</formula>
    </cfRule>
    <cfRule type="expression" dxfId="517" priority="155" stopIfTrue="1">
      <formula>J$36="NA"</formula>
    </cfRule>
    <cfRule type="expression" dxfId="516" priority="156" stopIfTrue="1">
      <formula>J$36="NG"</formula>
    </cfRule>
  </conditionalFormatting>
  <conditionalFormatting sqref="J22">
    <cfRule type="expression" dxfId="515" priority="152" stopIfTrue="1">
      <formula>J$40="NA"</formula>
    </cfRule>
    <cfRule type="expression" dxfId="514" priority="153" stopIfTrue="1">
      <formula>J$40="NG"</formula>
    </cfRule>
  </conditionalFormatting>
  <conditionalFormatting sqref="J22">
    <cfRule type="expression" dxfId="513" priority="150" stopIfTrue="1">
      <formula>J$40="NA"</formula>
    </cfRule>
    <cfRule type="expression" dxfId="512" priority="151" stopIfTrue="1">
      <formula>J$40="NG"</formula>
    </cfRule>
  </conditionalFormatting>
  <conditionalFormatting sqref="J22">
    <cfRule type="expression" dxfId="511" priority="147" stopIfTrue="1">
      <formula>#REF!="NG"</formula>
    </cfRule>
    <cfRule type="expression" dxfId="510" priority="148" stopIfTrue="1">
      <formula>J$23="NA"</formula>
    </cfRule>
    <cfRule type="expression" dxfId="509" priority="149" stopIfTrue="1">
      <formula>J$23="NG"</formula>
    </cfRule>
  </conditionalFormatting>
  <conditionalFormatting sqref="J22">
    <cfRule type="expression" dxfId="508" priority="145" stopIfTrue="1">
      <formula>#REF!="NA"</formula>
    </cfRule>
    <cfRule type="expression" dxfId="507" priority="146" stopIfTrue="1">
      <formula>#REF!="NG"</formula>
    </cfRule>
  </conditionalFormatting>
  <conditionalFormatting sqref="I23">
    <cfRule type="expression" dxfId="506" priority="142" stopIfTrue="1">
      <formula>#REF!="NG"</formula>
    </cfRule>
    <cfRule type="expression" dxfId="505" priority="143" stopIfTrue="1">
      <formula>I$36="NA"</formula>
    </cfRule>
    <cfRule type="expression" dxfId="504" priority="144" stopIfTrue="1">
      <formula>I$36="NG"</formula>
    </cfRule>
  </conditionalFormatting>
  <conditionalFormatting sqref="I23">
    <cfRule type="expression" dxfId="503" priority="140" stopIfTrue="1">
      <formula>I$40="NA"</formula>
    </cfRule>
    <cfRule type="expression" dxfId="502" priority="141" stopIfTrue="1">
      <formula>I$40="NG"</formula>
    </cfRule>
  </conditionalFormatting>
  <conditionalFormatting sqref="I23">
    <cfRule type="expression" dxfId="501" priority="138" stopIfTrue="1">
      <formula>I$40="NA"</formula>
    </cfRule>
    <cfRule type="expression" dxfId="500" priority="139" stopIfTrue="1">
      <formula>I$40="NG"</formula>
    </cfRule>
  </conditionalFormatting>
  <conditionalFormatting sqref="I23">
    <cfRule type="expression" dxfId="499" priority="135" stopIfTrue="1">
      <formula>#REF!="NG"</formula>
    </cfRule>
    <cfRule type="expression" dxfId="498" priority="136" stopIfTrue="1">
      <formula>I$23="NA"</formula>
    </cfRule>
    <cfRule type="expression" dxfId="497" priority="137" stopIfTrue="1">
      <formula>I$23="NG"</formula>
    </cfRule>
  </conditionalFormatting>
  <conditionalFormatting sqref="I23">
    <cfRule type="expression" dxfId="496" priority="133" stopIfTrue="1">
      <formula>#REF!="NA"</formula>
    </cfRule>
    <cfRule type="expression" dxfId="495" priority="134" stopIfTrue="1">
      <formula>#REF!="NG"</formula>
    </cfRule>
  </conditionalFormatting>
  <conditionalFormatting sqref="K24">
    <cfRule type="expression" dxfId="494" priority="130" stopIfTrue="1">
      <formula>#REF!="NG"</formula>
    </cfRule>
    <cfRule type="expression" dxfId="493" priority="131" stopIfTrue="1">
      <formula>K$36="NA"</formula>
    </cfRule>
    <cfRule type="expression" dxfId="492" priority="132" stopIfTrue="1">
      <formula>K$36="NG"</formula>
    </cfRule>
  </conditionalFormatting>
  <conditionalFormatting sqref="K24">
    <cfRule type="expression" dxfId="491" priority="128" stopIfTrue="1">
      <formula>K$40="NA"</formula>
    </cfRule>
    <cfRule type="expression" dxfId="490" priority="129" stopIfTrue="1">
      <formula>K$40="NG"</formula>
    </cfRule>
  </conditionalFormatting>
  <conditionalFormatting sqref="K24">
    <cfRule type="expression" dxfId="489" priority="126" stopIfTrue="1">
      <formula>K$40="NA"</formula>
    </cfRule>
    <cfRule type="expression" dxfId="488" priority="127" stopIfTrue="1">
      <formula>K$40="NG"</formula>
    </cfRule>
  </conditionalFormatting>
  <conditionalFormatting sqref="K24">
    <cfRule type="expression" dxfId="487" priority="123" stopIfTrue="1">
      <formula>#REF!="NG"</formula>
    </cfRule>
    <cfRule type="expression" dxfId="486" priority="124" stopIfTrue="1">
      <formula>K$23="NA"</formula>
    </cfRule>
    <cfRule type="expression" dxfId="485" priority="125" stopIfTrue="1">
      <formula>K$23="NG"</formula>
    </cfRule>
  </conditionalFormatting>
  <conditionalFormatting sqref="K24">
    <cfRule type="expression" dxfId="484" priority="121" stopIfTrue="1">
      <formula>#REF!="NA"</formula>
    </cfRule>
    <cfRule type="expression" dxfId="483" priority="122" stopIfTrue="1">
      <formula>#REF!="NG"</formula>
    </cfRule>
  </conditionalFormatting>
  <conditionalFormatting sqref="L25">
    <cfRule type="expression" dxfId="482" priority="118" stopIfTrue="1">
      <formula>#REF!="NG"</formula>
    </cfRule>
    <cfRule type="expression" dxfId="481" priority="119" stopIfTrue="1">
      <formula>L$36="NA"</formula>
    </cfRule>
    <cfRule type="expression" dxfId="480" priority="120" stopIfTrue="1">
      <formula>L$36="NG"</formula>
    </cfRule>
  </conditionalFormatting>
  <conditionalFormatting sqref="L25">
    <cfRule type="expression" dxfId="479" priority="116" stopIfTrue="1">
      <formula>L$40="NA"</formula>
    </cfRule>
    <cfRule type="expression" dxfId="478" priority="117" stopIfTrue="1">
      <formula>L$40="NG"</formula>
    </cfRule>
  </conditionalFormatting>
  <conditionalFormatting sqref="L25">
    <cfRule type="expression" dxfId="477" priority="114" stopIfTrue="1">
      <formula>L$40="NA"</formula>
    </cfRule>
    <cfRule type="expression" dxfId="476" priority="115" stopIfTrue="1">
      <formula>L$40="NG"</formula>
    </cfRule>
  </conditionalFormatting>
  <conditionalFormatting sqref="L25">
    <cfRule type="expression" dxfId="475" priority="111" stopIfTrue="1">
      <formula>#REF!="NG"</formula>
    </cfRule>
    <cfRule type="expression" dxfId="474" priority="112" stopIfTrue="1">
      <formula>L$23="NA"</formula>
    </cfRule>
    <cfRule type="expression" dxfId="473" priority="113" stopIfTrue="1">
      <formula>L$23="NG"</formula>
    </cfRule>
  </conditionalFormatting>
  <conditionalFormatting sqref="L25">
    <cfRule type="expression" dxfId="472" priority="109" stopIfTrue="1">
      <formula>#REF!="NA"</formula>
    </cfRule>
    <cfRule type="expression" dxfId="471" priority="110" stopIfTrue="1">
      <formula>#REF!="NG"</formula>
    </cfRule>
  </conditionalFormatting>
  <conditionalFormatting sqref="L27">
    <cfRule type="expression" dxfId="470" priority="106" stopIfTrue="1">
      <formula>#REF!="NG"</formula>
    </cfRule>
    <cfRule type="expression" dxfId="469" priority="107" stopIfTrue="1">
      <formula>L$36="NA"</formula>
    </cfRule>
    <cfRule type="expression" dxfId="468" priority="108" stopIfTrue="1">
      <formula>L$36="NG"</formula>
    </cfRule>
  </conditionalFormatting>
  <conditionalFormatting sqref="L27">
    <cfRule type="expression" dxfId="467" priority="104" stopIfTrue="1">
      <formula>L$40="NA"</formula>
    </cfRule>
    <cfRule type="expression" dxfId="466" priority="105" stopIfTrue="1">
      <formula>L$40="NG"</formula>
    </cfRule>
  </conditionalFormatting>
  <conditionalFormatting sqref="L27">
    <cfRule type="expression" dxfId="465" priority="102" stopIfTrue="1">
      <formula>L$40="NA"</formula>
    </cfRule>
    <cfRule type="expression" dxfId="464" priority="103" stopIfTrue="1">
      <formula>L$40="NG"</formula>
    </cfRule>
  </conditionalFormatting>
  <conditionalFormatting sqref="L27">
    <cfRule type="expression" dxfId="463" priority="99" stopIfTrue="1">
      <formula>#REF!="NG"</formula>
    </cfRule>
    <cfRule type="expression" dxfId="462" priority="100" stopIfTrue="1">
      <formula>L$23="NA"</formula>
    </cfRule>
    <cfRule type="expression" dxfId="461" priority="101" stopIfTrue="1">
      <formula>L$23="NG"</formula>
    </cfRule>
  </conditionalFormatting>
  <conditionalFormatting sqref="L27">
    <cfRule type="expression" dxfId="460" priority="97" stopIfTrue="1">
      <formula>#REF!="NA"</formula>
    </cfRule>
    <cfRule type="expression" dxfId="459" priority="98" stopIfTrue="1">
      <formula>#REF!="NG"</formula>
    </cfRule>
  </conditionalFormatting>
  <conditionalFormatting sqref="L28">
    <cfRule type="expression" dxfId="458" priority="94" stopIfTrue="1">
      <formula>#REF!="NG"</formula>
    </cfRule>
    <cfRule type="expression" dxfId="457" priority="95" stopIfTrue="1">
      <formula>L$36="NA"</formula>
    </cfRule>
    <cfRule type="expression" dxfId="456" priority="96" stopIfTrue="1">
      <formula>L$36="NG"</formula>
    </cfRule>
  </conditionalFormatting>
  <conditionalFormatting sqref="L28">
    <cfRule type="expression" dxfId="455" priority="92" stopIfTrue="1">
      <formula>L$40="NA"</formula>
    </cfRule>
    <cfRule type="expression" dxfId="454" priority="93" stopIfTrue="1">
      <formula>L$40="NG"</formula>
    </cfRule>
  </conditionalFormatting>
  <conditionalFormatting sqref="L28">
    <cfRule type="expression" dxfId="453" priority="90" stopIfTrue="1">
      <formula>L$40="NA"</formula>
    </cfRule>
    <cfRule type="expression" dxfId="452" priority="91" stopIfTrue="1">
      <formula>L$40="NG"</formula>
    </cfRule>
  </conditionalFormatting>
  <conditionalFormatting sqref="L28">
    <cfRule type="expression" dxfId="451" priority="87" stopIfTrue="1">
      <formula>#REF!="NG"</formula>
    </cfRule>
    <cfRule type="expression" dxfId="450" priority="88" stopIfTrue="1">
      <formula>L$23="NA"</formula>
    </cfRule>
    <cfRule type="expression" dxfId="449" priority="89" stopIfTrue="1">
      <formula>L$23="NG"</formula>
    </cfRule>
  </conditionalFormatting>
  <conditionalFormatting sqref="L28">
    <cfRule type="expression" dxfId="448" priority="85" stopIfTrue="1">
      <formula>#REF!="NA"</formula>
    </cfRule>
    <cfRule type="expression" dxfId="447" priority="86" stopIfTrue="1">
      <formula>#REF!="NG"</formula>
    </cfRule>
  </conditionalFormatting>
  <conditionalFormatting sqref="L29:L30">
    <cfRule type="expression" dxfId="446" priority="82" stopIfTrue="1">
      <formula>#REF!="NG"</formula>
    </cfRule>
    <cfRule type="expression" dxfId="445" priority="83" stopIfTrue="1">
      <formula>L$36="NA"</formula>
    </cfRule>
    <cfRule type="expression" dxfId="444" priority="84" stopIfTrue="1">
      <formula>L$36="NG"</formula>
    </cfRule>
  </conditionalFormatting>
  <conditionalFormatting sqref="L29:L30">
    <cfRule type="expression" dxfId="443" priority="80" stopIfTrue="1">
      <formula>L$40="NA"</formula>
    </cfRule>
    <cfRule type="expression" dxfId="442" priority="81" stopIfTrue="1">
      <formula>L$40="NG"</formula>
    </cfRule>
  </conditionalFormatting>
  <conditionalFormatting sqref="L29:L30">
    <cfRule type="expression" dxfId="441" priority="78" stopIfTrue="1">
      <formula>L$40="NA"</formula>
    </cfRule>
    <cfRule type="expression" dxfId="440" priority="79" stopIfTrue="1">
      <formula>L$40="NG"</formula>
    </cfRule>
  </conditionalFormatting>
  <conditionalFormatting sqref="L29:L30">
    <cfRule type="expression" dxfId="439" priority="75" stopIfTrue="1">
      <formula>#REF!="NG"</formula>
    </cfRule>
    <cfRule type="expression" dxfId="438" priority="76" stopIfTrue="1">
      <formula>L$23="NA"</formula>
    </cfRule>
    <cfRule type="expression" dxfId="437" priority="77" stopIfTrue="1">
      <formula>L$23="NG"</formula>
    </cfRule>
  </conditionalFormatting>
  <conditionalFormatting sqref="L29:L30">
    <cfRule type="expression" dxfId="436" priority="73" stopIfTrue="1">
      <formula>#REF!="NA"</formula>
    </cfRule>
    <cfRule type="expression" dxfId="435" priority="74" stopIfTrue="1">
      <formula>#REF!="NG"</formula>
    </cfRule>
  </conditionalFormatting>
  <conditionalFormatting sqref="M31">
    <cfRule type="expression" dxfId="434" priority="70" stopIfTrue="1">
      <formula>#REF!="NG"</formula>
    </cfRule>
    <cfRule type="expression" dxfId="433" priority="71" stopIfTrue="1">
      <formula>M$36="NA"</formula>
    </cfRule>
    <cfRule type="expression" dxfId="432" priority="72" stopIfTrue="1">
      <formula>M$36="NG"</formula>
    </cfRule>
  </conditionalFormatting>
  <conditionalFormatting sqref="M31">
    <cfRule type="expression" dxfId="431" priority="68" stopIfTrue="1">
      <formula>M$40="NA"</formula>
    </cfRule>
    <cfRule type="expression" dxfId="430" priority="69" stopIfTrue="1">
      <formula>M$40="NG"</formula>
    </cfRule>
  </conditionalFormatting>
  <conditionalFormatting sqref="M31">
    <cfRule type="expression" dxfId="429" priority="66" stopIfTrue="1">
      <formula>M$40="NA"</formula>
    </cfRule>
    <cfRule type="expression" dxfId="428" priority="67" stopIfTrue="1">
      <formula>M$40="NG"</formula>
    </cfRule>
  </conditionalFormatting>
  <conditionalFormatting sqref="M31">
    <cfRule type="expression" dxfId="427" priority="63" stopIfTrue="1">
      <formula>#REF!="NG"</formula>
    </cfRule>
    <cfRule type="expression" dxfId="426" priority="64" stopIfTrue="1">
      <formula>M$23="NA"</formula>
    </cfRule>
    <cfRule type="expression" dxfId="425" priority="65" stopIfTrue="1">
      <formula>M$23="NG"</formula>
    </cfRule>
  </conditionalFormatting>
  <conditionalFormatting sqref="M31">
    <cfRule type="expression" dxfId="424" priority="61" stopIfTrue="1">
      <formula>#REF!="NA"</formula>
    </cfRule>
    <cfRule type="expression" dxfId="423" priority="62" stopIfTrue="1">
      <formula>#REF!="NG"</formula>
    </cfRule>
  </conditionalFormatting>
  <conditionalFormatting sqref="N31">
    <cfRule type="expression" dxfId="422" priority="58" stopIfTrue="1">
      <formula>#REF!="NG"</formula>
    </cfRule>
    <cfRule type="expression" dxfId="421" priority="59" stopIfTrue="1">
      <formula>N$36="NA"</formula>
    </cfRule>
    <cfRule type="expression" dxfId="420" priority="60" stopIfTrue="1">
      <formula>N$36="NG"</formula>
    </cfRule>
  </conditionalFormatting>
  <conditionalFormatting sqref="N31">
    <cfRule type="expression" dxfId="419" priority="56" stopIfTrue="1">
      <formula>N$40="NA"</formula>
    </cfRule>
    <cfRule type="expression" dxfId="418" priority="57" stopIfTrue="1">
      <formula>N$40="NG"</formula>
    </cfRule>
  </conditionalFormatting>
  <conditionalFormatting sqref="N31">
    <cfRule type="expression" dxfId="417" priority="54" stopIfTrue="1">
      <formula>N$40="NA"</formula>
    </cfRule>
    <cfRule type="expression" dxfId="416" priority="55" stopIfTrue="1">
      <formula>N$40="NG"</formula>
    </cfRule>
  </conditionalFormatting>
  <conditionalFormatting sqref="N31">
    <cfRule type="expression" dxfId="415" priority="51" stopIfTrue="1">
      <formula>#REF!="NG"</formula>
    </cfRule>
    <cfRule type="expression" dxfId="414" priority="52" stopIfTrue="1">
      <formula>N$23="NA"</formula>
    </cfRule>
    <cfRule type="expression" dxfId="413" priority="53" stopIfTrue="1">
      <formula>N$23="NG"</formula>
    </cfRule>
  </conditionalFormatting>
  <conditionalFormatting sqref="N31">
    <cfRule type="expression" dxfId="412" priority="49" stopIfTrue="1">
      <formula>#REF!="NA"</formula>
    </cfRule>
    <cfRule type="expression" dxfId="411" priority="50" stopIfTrue="1">
      <formula>#REF!="NG"</formula>
    </cfRule>
  </conditionalFormatting>
  <conditionalFormatting sqref="O31">
    <cfRule type="expression" dxfId="410" priority="46" stopIfTrue="1">
      <formula>#REF!="NG"</formula>
    </cfRule>
    <cfRule type="expression" dxfId="409" priority="47" stopIfTrue="1">
      <formula>O$36="NA"</formula>
    </cfRule>
    <cfRule type="expression" dxfId="408" priority="48" stopIfTrue="1">
      <formula>O$36="NG"</formula>
    </cfRule>
  </conditionalFormatting>
  <conditionalFormatting sqref="O31">
    <cfRule type="expression" dxfId="407" priority="44" stopIfTrue="1">
      <formula>O$40="NA"</formula>
    </cfRule>
    <cfRule type="expression" dxfId="406" priority="45" stopIfTrue="1">
      <formula>O$40="NG"</formula>
    </cfRule>
  </conditionalFormatting>
  <conditionalFormatting sqref="O31">
    <cfRule type="expression" dxfId="405" priority="42" stopIfTrue="1">
      <formula>O$40="NA"</formula>
    </cfRule>
    <cfRule type="expression" dxfId="404" priority="43" stopIfTrue="1">
      <formula>O$40="NG"</formula>
    </cfRule>
  </conditionalFormatting>
  <conditionalFormatting sqref="O31">
    <cfRule type="expression" dxfId="403" priority="39" stopIfTrue="1">
      <formula>#REF!="NG"</formula>
    </cfRule>
    <cfRule type="expression" dxfId="402" priority="40" stopIfTrue="1">
      <formula>O$23="NA"</formula>
    </cfRule>
    <cfRule type="expression" dxfId="401" priority="41" stopIfTrue="1">
      <formula>O$23="NG"</formula>
    </cfRule>
  </conditionalFormatting>
  <conditionalFormatting sqref="O31">
    <cfRule type="expression" dxfId="400" priority="37" stopIfTrue="1">
      <formula>#REF!="NA"</formula>
    </cfRule>
    <cfRule type="expression" dxfId="399" priority="38" stopIfTrue="1">
      <formula>#REF!="NG"</formula>
    </cfRule>
  </conditionalFormatting>
  <conditionalFormatting sqref="M33">
    <cfRule type="expression" dxfId="398" priority="34" stopIfTrue="1">
      <formula>#REF!="NG"</formula>
    </cfRule>
    <cfRule type="expression" dxfId="397" priority="35" stopIfTrue="1">
      <formula>M$36="NA"</formula>
    </cfRule>
    <cfRule type="expression" dxfId="396" priority="36" stopIfTrue="1">
      <formula>M$36="NG"</formula>
    </cfRule>
  </conditionalFormatting>
  <conditionalFormatting sqref="M33">
    <cfRule type="expression" dxfId="395" priority="32" stopIfTrue="1">
      <formula>M$40="NA"</formula>
    </cfRule>
    <cfRule type="expression" dxfId="394" priority="33" stopIfTrue="1">
      <formula>M$40="NG"</formula>
    </cfRule>
  </conditionalFormatting>
  <conditionalFormatting sqref="M33">
    <cfRule type="expression" dxfId="393" priority="30" stopIfTrue="1">
      <formula>M$40="NA"</formula>
    </cfRule>
    <cfRule type="expression" dxfId="392" priority="31" stopIfTrue="1">
      <formula>M$40="NG"</formula>
    </cfRule>
  </conditionalFormatting>
  <conditionalFormatting sqref="M33">
    <cfRule type="expression" dxfId="391" priority="27" stopIfTrue="1">
      <formula>#REF!="NG"</formula>
    </cfRule>
    <cfRule type="expression" dxfId="390" priority="28" stopIfTrue="1">
      <formula>M$23="NA"</formula>
    </cfRule>
    <cfRule type="expression" dxfId="389" priority="29" stopIfTrue="1">
      <formula>M$23="NG"</formula>
    </cfRule>
  </conditionalFormatting>
  <conditionalFormatting sqref="M33">
    <cfRule type="expression" dxfId="388" priority="25" stopIfTrue="1">
      <formula>#REF!="NA"</formula>
    </cfRule>
    <cfRule type="expression" dxfId="387" priority="26" stopIfTrue="1">
      <formula>#REF!="NG"</formula>
    </cfRule>
  </conditionalFormatting>
  <conditionalFormatting sqref="N34">
    <cfRule type="expression" dxfId="386" priority="22" stopIfTrue="1">
      <formula>#REF!="NG"</formula>
    </cfRule>
    <cfRule type="expression" dxfId="385" priority="23" stopIfTrue="1">
      <formula>N$36="NA"</formula>
    </cfRule>
    <cfRule type="expression" dxfId="384" priority="24" stopIfTrue="1">
      <formula>N$36="NG"</formula>
    </cfRule>
  </conditionalFormatting>
  <conditionalFormatting sqref="N34">
    <cfRule type="expression" dxfId="383" priority="20" stopIfTrue="1">
      <formula>N$40="NA"</formula>
    </cfRule>
    <cfRule type="expression" dxfId="382" priority="21" stopIfTrue="1">
      <formula>N$40="NG"</formula>
    </cfRule>
  </conditionalFormatting>
  <conditionalFormatting sqref="N34">
    <cfRule type="expression" dxfId="381" priority="18" stopIfTrue="1">
      <formula>N$40="NA"</formula>
    </cfRule>
    <cfRule type="expression" dxfId="380" priority="19" stopIfTrue="1">
      <formula>N$40="NG"</formula>
    </cfRule>
  </conditionalFormatting>
  <conditionalFormatting sqref="N34">
    <cfRule type="expression" dxfId="379" priority="15" stopIfTrue="1">
      <formula>#REF!="NG"</formula>
    </cfRule>
    <cfRule type="expression" dxfId="378" priority="16" stopIfTrue="1">
      <formula>N$23="NA"</formula>
    </cfRule>
    <cfRule type="expression" dxfId="377" priority="17" stopIfTrue="1">
      <formula>N$23="NG"</formula>
    </cfRule>
  </conditionalFormatting>
  <conditionalFormatting sqref="N34">
    <cfRule type="expression" dxfId="376" priority="13" stopIfTrue="1">
      <formula>#REF!="NA"</formula>
    </cfRule>
    <cfRule type="expression" dxfId="375" priority="14" stopIfTrue="1">
      <formula>#REF!="NG"</formula>
    </cfRule>
  </conditionalFormatting>
  <conditionalFormatting sqref="O35">
    <cfRule type="expression" dxfId="374" priority="10" stopIfTrue="1">
      <formula>#REF!="NG"</formula>
    </cfRule>
    <cfRule type="expression" dxfId="373" priority="11" stopIfTrue="1">
      <formula>O$36="NA"</formula>
    </cfRule>
    <cfRule type="expression" dxfId="372" priority="12" stopIfTrue="1">
      <formula>O$36="NG"</formula>
    </cfRule>
  </conditionalFormatting>
  <conditionalFormatting sqref="O35">
    <cfRule type="expression" dxfId="371" priority="8" stopIfTrue="1">
      <formula>O$40="NA"</formula>
    </cfRule>
    <cfRule type="expression" dxfId="370" priority="9" stopIfTrue="1">
      <formula>O$40="NG"</formula>
    </cfRule>
  </conditionalFormatting>
  <conditionalFormatting sqref="O35">
    <cfRule type="expression" dxfId="369" priority="6" stopIfTrue="1">
      <formula>O$40="NA"</formula>
    </cfRule>
    <cfRule type="expression" dxfId="368" priority="7" stopIfTrue="1">
      <formula>O$40="NG"</formula>
    </cfRule>
  </conditionalFormatting>
  <conditionalFormatting sqref="O35">
    <cfRule type="expression" dxfId="367" priority="3" stopIfTrue="1">
      <formula>#REF!="NG"</formula>
    </cfRule>
    <cfRule type="expression" dxfId="366" priority="4" stopIfTrue="1">
      <formula>O$23="NA"</formula>
    </cfRule>
    <cfRule type="expression" dxfId="365" priority="5" stopIfTrue="1">
      <formula>O$23="NG"</formula>
    </cfRule>
  </conditionalFormatting>
  <conditionalFormatting sqref="O35">
    <cfRule type="expression" dxfId="364" priority="1" stopIfTrue="1">
      <formula>#REF!="NA"</formula>
    </cfRule>
    <cfRule type="expression" dxfId="363" priority="2" stopIfTrue="1">
      <formula>#REF!="NG"</formula>
    </cfRule>
  </conditionalFormatting>
  <dataValidations count="10">
    <dataValidation allowBlank="1" showInputMessage="1" showErrorMessage="1" promptTitle="Condition Type" prompt="N : Normal _x000a_A : Abnormal _x000a_B : Boundary" sqref="G36"/>
    <dataValidation allowBlank="1" showInputMessage="1" showErrorMessage="1" promptTitle="Enter" prompt="Name of the person who performed the test" sqref="G37"/>
    <dataValidation allowBlank="1" showInputMessage="1" showErrorMessage="1" promptTitle="Testing Date" prompt="Date on which test was performed in yyyy/mm/dd format" sqref="G3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9"/>
    <dataValidation allowBlank="1" showInputMessage="1" showErrorMessage="1" promptTitle="Bug ID" prompt="Unique ID throughout the project._x000a_For every Bug found during Test as well as Re-Test, a new Bug ID needs to be entered here (as a comma seperated value)" sqref="B40:E40"/>
    <dataValidation allowBlank="1" showInputMessage="1" showErrorMessage="1" promptTitle="PCL sheet name" prompt=" " sqref="F40:G40"/>
    <dataValidation type="list" allowBlank="1" showInputMessage="1" showErrorMessage="1" sqref="H39:AF39">
      <formula1>"OK, NG, NA, PT"</formula1>
    </dataValidation>
    <dataValidation type="list" allowBlank="1" showInputMessage="1" showErrorMessage="1" sqref="H36:AF36">
      <formula1>"N, A, B"</formula1>
    </dataValidation>
    <dataValidation allowBlank="1" showInputMessage="1" showErrorMessage="1" promptTitle="Check points" prompt="that need / need not be executed" sqref="A19:A35"/>
    <dataValidation allowBlank="1" showInputMessage="1" showErrorMessage="1" promptTitle="Input conditions" prompt="that need to be checked." sqref="A4"/>
  </dataValidations>
  <hyperlinks>
    <hyperlink ref="D13" r:id="rId1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2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28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7" sqref="H7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7" t="s">
        <v>68</v>
      </c>
      <c r="C1" s="188"/>
      <c r="D1" s="188"/>
      <c r="E1" s="189"/>
      <c r="F1" s="187" t="s">
        <v>159</v>
      </c>
      <c r="G1" s="188"/>
      <c r="H1" s="188"/>
      <c r="I1" s="188"/>
      <c r="J1" s="188"/>
      <c r="K1" s="188"/>
      <c r="L1" s="188"/>
      <c r="M1" s="188"/>
      <c r="N1" s="188"/>
      <c r="O1" s="189"/>
      <c r="P1" s="168" t="s">
        <v>0</v>
      </c>
      <c r="Q1" s="169"/>
      <c r="R1" s="169"/>
      <c r="S1" s="170"/>
      <c r="T1" s="187" t="s">
        <v>160</v>
      </c>
      <c r="U1" s="188"/>
      <c r="V1" s="188"/>
      <c r="W1" s="188"/>
      <c r="X1" s="188"/>
      <c r="Y1" s="188"/>
      <c r="Z1" s="189"/>
      <c r="AA1" s="190" t="s">
        <v>11</v>
      </c>
      <c r="AB1" s="190"/>
      <c r="AC1" s="191">
        <v>43712</v>
      </c>
      <c r="AD1" s="191"/>
      <c r="AE1" s="191"/>
      <c r="AF1" s="192"/>
    </row>
    <row r="2" spans="1:32" ht="20.100000000000001" customHeight="1" thickBot="1">
      <c r="A2" s="64" t="s">
        <v>4</v>
      </c>
      <c r="B2" s="181" t="s">
        <v>161</v>
      </c>
      <c r="C2" s="182"/>
      <c r="D2" s="182"/>
      <c r="E2" s="183"/>
      <c r="F2" s="181" t="s">
        <v>162</v>
      </c>
      <c r="G2" s="182"/>
      <c r="H2" s="183"/>
      <c r="I2" s="176" t="s">
        <v>163</v>
      </c>
      <c r="J2" s="177"/>
      <c r="K2" s="177"/>
      <c r="L2" s="177"/>
      <c r="M2" s="177"/>
      <c r="N2" s="177"/>
      <c r="O2" s="178"/>
      <c r="P2" s="181"/>
      <c r="Q2" s="182"/>
      <c r="R2" s="182"/>
      <c r="S2" s="182"/>
      <c r="T2" s="182"/>
      <c r="U2" s="182"/>
      <c r="V2" s="182"/>
      <c r="W2" s="182"/>
      <c r="X2" s="182"/>
      <c r="Y2" s="182"/>
      <c r="Z2" s="183"/>
      <c r="AA2" s="184" t="s">
        <v>13</v>
      </c>
      <c r="AB2" s="185"/>
      <c r="AC2" s="181" t="s">
        <v>14</v>
      </c>
      <c r="AD2" s="182"/>
      <c r="AE2" s="182"/>
      <c r="AF2" s="201"/>
    </row>
    <row r="3" spans="1:32" ht="37.5" customHeight="1" thickBot="1">
      <c r="A3" s="66" t="s">
        <v>51</v>
      </c>
      <c r="B3" s="10"/>
      <c r="C3" s="10"/>
      <c r="D3" s="10"/>
      <c r="E3" s="10"/>
      <c r="F3" s="10"/>
      <c r="G3" s="65" t="s">
        <v>52</v>
      </c>
      <c r="H3" s="11">
        <f>IF(COUNTA(H4:H22)&gt;0,1,"")</f>
        <v>1</v>
      </c>
      <c r="I3" s="12">
        <f>IF(COUNTA(I4:I22)&gt;0,IF(H3&gt;0,H3+1,""),"")</f>
        <v>2</v>
      </c>
      <c r="J3" s="12">
        <v>3</v>
      </c>
      <c r="K3" s="12">
        <f t="shared" ref="K3:Q3" si="0">IF(COUNTA(K5:K22)&gt;0,IF(J3&gt;0,J3+1,""),"")</f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 t="str">
        <f t="shared" si="0"/>
        <v/>
      </c>
      <c r="Q3" s="12" t="str">
        <f t="shared" si="0"/>
        <v/>
      </c>
      <c r="R3" s="12" t="str">
        <f t="shared" ref="R3:AF3" si="1">IF(COUNTA(R4:R22)&gt;0,IF(Q3&gt;0,Q3+1,""),"")</f>
        <v/>
      </c>
      <c r="S3" s="12" t="str">
        <f t="shared" si="1"/>
        <v/>
      </c>
      <c r="T3" s="12" t="str">
        <f t="shared" si="1"/>
        <v/>
      </c>
      <c r="U3" s="12" t="str">
        <f t="shared" si="1"/>
        <v/>
      </c>
      <c r="V3" s="12" t="str">
        <f t="shared" si="1"/>
        <v/>
      </c>
      <c r="W3" s="12" t="str">
        <f t="shared" si="1"/>
        <v/>
      </c>
      <c r="X3" s="12" t="str">
        <f t="shared" si="1"/>
        <v/>
      </c>
      <c r="Y3" s="12" t="str">
        <f t="shared" si="1"/>
        <v/>
      </c>
      <c r="Z3" s="12" t="str">
        <f t="shared" si="1"/>
        <v/>
      </c>
      <c r="AA3" s="12" t="str">
        <f t="shared" si="1"/>
        <v/>
      </c>
      <c r="AB3" s="12" t="str">
        <f t="shared" si="1"/>
        <v/>
      </c>
      <c r="AC3" s="12" t="str">
        <f t="shared" si="1"/>
        <v/>
      </c>
      <c r="AD3" s="12" t="str">
        <f t="shared" si="1"/>
        <v/>
      </c>
      <c r="AE3" s="12" t="str">
        <f t="shared" si="1"/>
        <v/>
      </c>
      <c r="AF3" s="13" t="str">
        <f t="shared" si="1"/>
        <v/>
      </c>
    </row>
    <row r="4" spans="1:32" s="17" customFormat="1" ht="13.5" customHeight="1">
      <c r="A4" s="202" t="s">
        <v>53</v>
      </c>
      <c r="B4" s="204" t="s">
        <v>142</v>
      </c>
      <c r="C4" s="204"/>
      <c r="D4" s="204"/>
      <c r="E4" s="204"/>
      <c r="F4" s="204"/>
      <c r="G4" s="204"/>
      <c r="H4" s="82" t="s">
        <v>104</v>
      </c>
      <c r="I4" s="82" t="s">
        <v>104</v>
      </c>
      <c r="J4" s="82" t="s">
        <v>104</v>
      </c>
      <c r="K4" s="82" t="s">
        <v>104</v>
      </c>
      <c r="L4" s="82" t="s">
        <v>104</v>
      </c>
      <c r="M4" s="82" t="s">
        <v>104</v>
      </c>
      <c r="N4" s="82" t="s">
        <v>104</v>
      </c>
      <c r="O4" s="82" t="s">
        <v>104</v>
      </c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3"/>
      <c r="B5" s="166" t="s">
        <v>143</v>
      </c>
      <c r="C5" s="205"/>
      <c r="D5" s="205"/>
      <c r="E5" s="205"/>
      <c r="F5" s="205"/>
      <c r="G5" s="205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3"/>
      <c r="B6" s="21"/>
      <c r="C6" s="206" t="s">
        <v>144</v>
      </c>
      <c r="D6" s="167"/>
      <c r="E6" s="167"/>
      <c r="F6" s="167"/>
      <c r="G6" s="167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03"/>
      <c r="B7" s="21"/>
      <c r="C7" s="89"/>
      <c r="D7" s="166" t="s">
        <v>145</v>
      </c>
      <c r="E7" s="167"/>
      <c r="F7" s="167"/>
      <c r="G7" s="247"/>
      <c r="H7" s="82" t="s">
        <v>104</v>
      </c>
      <c r="I7" s="19"/>
      <c r="J7" s="19"/>
      <c r="K7" s="19"/>
      <c r="L7" s="19"/>
      <c r="M7" s="19"/>
      <c r="N7" s="19"/>
      <c r="O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03"/>
      <c r="B8" s="21"/>
      <c r="C8" s="89"/>
      <c r="D8" s="166" t="s">
        <v>146</v>
      </c>
      <c r="E8" s="167"/>
      <c r="F8" s="167"/>
      <c r="G8" s="247"/>
      <c r="H8" s="19"/>
      <c r="I8" s="82" t="s">
        <v>104</v>
      </c>
      <c r="J8" s="19"/>
      <c r="K8" s="19"/>
      <c r="L8" s="19"/>
      <c r="M8" s="19"/>
      <c r="N8" s="19"/>
      <c r="O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03"/>
      <c r="B9" s="21"/>
      <c r="C9" s="89"/>
      <c r="D9" s="166" t="s">
        <v>147</v>
      </c>
      <c r="E9" s="167"/>
      <c r="F9" s="167"/>
      <c r="G9" s="247"/>
      <c r="H9" s="19"/>
      <c r="I9" s="19"/>
      <c r="J9" s="82" t="s">
        <v>104</v>
      </c>
      <c r="K9" s="19"/>
      <c r="L9" s="19"/>
      <c r="M9" s="19"/>
      <c r="N9" s="19"/>
      <c r="O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03"/>
      <c r="B10" s="21"/>
      <c r="C10" s="89"/>
      <c r="D10" s="166" t="s">
        <v>148</v>
      </c>
      <c r="E10" s="167"/>
      <c r="F10" s="167"/>
      <c r="G10" s="247"/>
      <c r="H10" s="19"/>
      <c r="I10" s="19"/>
      <c r="J10" s="19"/>
      <c r="K10" s="82" t="s">
        <v>104</v>
      </c>
      <c r="L10" s="19"/>
      <c r="M10" s="19"/>
      <c r="N10" s="19"/>
      <c r="O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03"/>
      <c r="B11" s="21"/>
      <c r="C11" s="89"/>
      <c r="D11" s="166" t="s">
        <v>149</v>
      </c>
      <c r="E11" s="167"/>
      <c r="F11" s="167"/>
      <c r="G11" s="247"/>
      <c r="H11" s="19"/>
      <c r="I11" s="19"/>
      <c r="J11" s="19"/>
      <c r="K11" s="19"/>
      <c r="L11" s="82" t="s">
        <v>104</v>
      </c>
      <c r="M11" s="19"/>
      <c r="N11" s="19"/>
      <c r="O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03"/>
      <c r="B12" s="21"/>
      <c r="C12" s="89"/>
      <c r="D12" s="166" t="s">
        <v>150</v>
      </c>
      <c r="E12" s="167"/>
      <c r="F12" s="167"/>
      <c r="G12" s="247"/>
      <c r="H12" s="19"/>
      <c r="I12" s="19"/>
      <c r="J12" s="19"/>
      <c r="K12" s="19"/>
      <c r="L12" s="19"/>
      <c r="M12" s="82" t="s">
        <v>104</v>
      </c>
      <c r="N12" s="19"/>
      <c r="O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03"/>
      <c r="B13" s="21"/>
      <c r="C13" s="89"/>
      <c r="D13" s="166" t="s">
        <v>151</v>
      </c>
      <c r="E13" s="167"/>
      <c r="F13" s="167"/>
      <c r="G13" s="247"/>
      <c r="H13" s="19"/>
      <c r="I13" s="19"/>
      <c r="J13" s="19"/>
      <c r="K13" s="19"/>
      <c r="L13" s="19"/>
      <c r="M13" s="19"/>
      <c r="N13" s="82" t="s">
        <v>104</v>
      </c>
      <c r="O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03"/>
      <c r="B14" s="21"/>
      <c r="C14" s="206" t="s">
        <v>140</v>
      </c>
      <c r="D14" s="167"/>
      <c r="E14" s="167"/>
      <c r="F14" s="167"/>
      <c r="G14" s="167"/>
      <c r="H14" s="104"/>
      <c r="I14" s="19"/>
      <c r="J14" s="19"/>
      <c r="K14" s="19"/>
      <c r="L14" s="19"/>
      <c r="M14" s="19"/>
      <c r="N14" s="19"/>
      <c r="O14" s="19"/>
      <c r="P14" s="82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 thickBot="1">
      <c r="A15" s="203"/>
      <c r="B15" s="21"/>
      <c r="C15" s="89"/>
      <c r="D15" s="166" t="s">
        <v>152</v>
      </c>
      <c r="E15" s="167"/>
      <c r="F15" s="167"/>
      <c r="G15" s="247"/>
      <c r="H15" s="104"/>
      <c r="I15" s="19"/>
      <c r="J15" s="19"/>
      <c r="K15" s="19"/>
      <c r="L15" s="19"/>
      <c r="M15" s="19"/>
      <c r="N15" s="19"/>
      <c r="O15" s="82" t="s">
        <v>104</v>
      </c>
      <c r="P15" s="82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207" t="s">
        <v>54</v>
      </c>
      <c r="B16" s="210" t="s">
        <v>26</v>
      </c>
      <c r="C16" s="204"/>
      <c r="D16" s="204"/>
      <c r="E16" s="204"/>
      <c r="F16" s="204"/>
      <c r="G16" s="204"/>
      <c r="H16" s="25"/>
      <c r="I16" s="26"/>
      <c r="J16" s="26"/>
      <c r="K16" s="67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7"/>
    </row>
    <row r="17" spans="1:32" s="17" customFormat="1" ht="13.5" customHeight="1">
      <c r="A17" s="208"/>
      <c r="B17" s="28"/>
      <c r="C17" s="245" t="s">
        <v>153</v>
      </c>
      <c r="D17" s="245"/>
      <c r="E17" s="245"/>
      <c r="F17" s="245"/>
      <c r="G17" s="246"/>
      <c r="H17" s="105"/>
      <c r="I17" s="78"/>
      <c r="J17" s="78"/>
      <c r="K17" s="96"/>
      <c r="L17" s="78"/>
      <c r="M17" s="78"/>
      <c r="N17" s="78"/>
      <c r="O17" s="82" t="s">
        <v>104</v>
      </c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9"/>
    </row>
    <row r="18" spans="1:32" s="17" customFormat="1" ht="13.5" customHeight="1" thickBot="1">
      <c r="A18" s="208"/>
      <c r="B18" s="28"/>
      <c r="C18" s="245" t="s">
        <v>154</v>
      </c>
      <c r="D18" s="245"/>
      <c r="E18" s="245"/>
      <c r="F18" s="245"/>
      <c r="G18" s="246"/>
      <c r="H18" s="105"/>
      <c r="I18" s="78"/>
      <c r="J18" s="78"/>
      <c r="K18" s="96"/>
      <c r="L18" s="78"/>
      <c r="M18" s="78"/>
      <c r="N18" s="78"/>
      <c r="O18" s="82" t="s">
        <v>104</v>
      </c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9"/>
    </row>
    <row r="19" spans="1:32" s="17" customFormat="1" ht="13.5" customHeight="1">
      <c r="A19" s="208"/>
      <c r="B19" s="210" t="s">
        <v>155</v>
      </c>
      <c r="C19" s="204"/>
      <c r="D19" s="204"/>
      <c r="E19" s="204"/>
      <c r="F19" s="204"/>
      <c r="G19" s="204"/>
      <c r="I19" s="78"/>
      <c r="J19" s="78"/>
      <c r="K19" s="96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9"/>
    </row>
    <row r="20" spans="1:32" s="17" customFormat="1" ht="13.5" customHeight="1">
      <c r="A20" s="208"/>
      <c r="B20" s="106"/>
      <c r="C20" s="245" t="s">
        <v>156</v>
      </c>
      <c r="D20" s="245"/>
      <c r="E20" s="245"/>
      <c r="F20" s="245"/>
      <c r="G20" s="246"/>
      <c r="H20" s="77"/>
      <c r="I20" s="78"/>
      <c r="J20" s="78"/>
      <c r="K20" s="96"/>
      <c r="L20" s="78"/>
      <c r="M20" s="78"/>
      <c r="N20" s="78"/>
      <c r="O20" s="82" t="s">
        <v>104</v>
      </c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9"/>
    </row>
    <row r="21" spans="1:32" s="17" customFormat="1" ht="13.5" customHeight="1" thickBot="1">
      <c r="A21" s="208"/>
      <c r="B21" s="248" t="s">
        <v>157</v>
      </c>
      <c r="C21" s="248"/>
      <c r="D21" s="248"/>
      <c r="E21" s="248"/>
      <c r="F21" s="248"/>
      <c r="G21" s="249"/>
      <c r="H21" s="77"/>
      <c r="I21" s="78"/>
      <c r="J21" s="78"/>
      <c r="K21" s="96"/>
      <c r="L21" s="78"/>
      <c r="M21" s="78"/>
      <c r="N21" s="78"/>
      <c r="O21" s="82" t="s">
        <v>104</v>
      </c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9"/>
    </row>
    <row r="22" spans="1:32" s="17" customFormat="1" ht="24" customHeight="1">
      <c r="A22" s="193" t="s">
        <v>55</v>
      </c>
      <c r="B22" s="195"/>
      <c r="C22" s="196"/>
      <c r="D22" s="196"/>
      <c r="E22" s="196"/>
      <c r="F22" s="197"/>
      <c r="G22" s="35" t="s">
        <v>44</v>
      </c>
      <c r="H22" s="36" t="s">
        <v>136</v>
      </c>
      <c r="I22" s="36" t="s">
        <v>136</v>
      </c>
      <c r="J22" s="36" t="s">
        <v>136</v>
      </c>
      <c r="K22" s="36" t="s">
        <v>136</v>
      </c>
      <c r="L22" s="36" t="s">
        <v>136</v>
      </c>
      <c r="M22" s="36" t="s">
        <v>136</v>
      </c>
      <c r="N22" s="36" t="s">
        <v>136</v>
      </c>
      <c r="O22" s="36" t="s">
        <v>136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8"/>
    </row>
    <row r="23" spans="1:32" s="17" customFormat="1" ht="27" customHeight="1">
      <c r="A23" s="194"/>
      <c r="B23" s="198"/>
      <c r="C23" s="199"/>
      <c r="D23" s="199"/>
      <c r="E23" s="199"/>
      <c r="F23" s="200"/>
      <c r="G23" s="39" t="s">
        <v>45</v>
      </c>
      <c r="H23" s="40" t="s">
        <v>138</v>
      </c>
      <c r="I23" s="40" t="s">
        <v>138</v>
      </c>
      <c r="J23" s="40" t="s">
        <v>138</v>
      </c>
      <c r="K23" s="40" t="s">
        <v>138</v>
      </c>
      <c r="L23" s="40" t="s">
        <v>138</v>
      </c>
      <c r="M23" s="40" t="s">
        <v>138</v>
      </c>
      <c r="N23" s="40" t="s">
        <v>138</v>
      </c>
      <c r="O23" s="40" t="s">
        <v>138</v>
      </c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2"/>
    </row>
    <row r="24" spans="1:32" s="17" customFormat="1" ht="27" customHeight="1">
      <c r="A24" s="194"/>
      <c r="B24" s="198"/>
      <c r="C24" s="199"/>
      <c r="D24" s="199"/>
      <c r="E24" s="199"/>
      <c r="F24" s="200"/>
      <c r="G24" s="39" t="s">
        <v>46</v>
      </c>
      <c r="H24" s="43">
        <v>43712</v>
      </c>
      <c r="I24" s="43">
        <v>43712</v>
      </c>
      <c r="J24" s="43">
        <v>43712</v>
      </c>
      <c r="K24" s="43">
        <v>43712</v>
      </c>
      <c r="L24" s="43">
        <v>43712</v>
      </c>
      <c r="M24" s="43">
        <v>43712</v>
      </c>
      <c r="N24" s="43">
        <v>43712</v>
      </c>
      <c r="O24" s="43">
        <v>43712</v>
      </c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5"/>
    </row>
    <row r="25" spans="1:32" s="17" customFormat="1" ht="24.75" customHeight="1">
      <c r="A25" s="194"/>
      <c r="B25" s="198" t="s">
        <v>105</v>
      </c>
      <c r="C25" s="199"/>
      <c r="D25" s="199"/>
      <c r="E25" s="199"/>
      <c r="F25" s="200"/>
      <c r="G25" s="46" t="s">
        <v>1</v>
      </c>
      <c r="H25" s="40" t="s">
        <v>139</v>
      </c>
      <c r="I25" s="40" t="s">
        <v>139</v>
      </c>
      <c r="J25" s="40" t="s">
        <v>139</v>
      </c>
      <c r="K25" s="40" t="s">
        <v>139</v>
      </c>
      <c r="L25" s="40" t="s">
        <v>139</v>
      </c>
      <c r="M25" s="40" t="s">
        <v>139</v>
      </c>
      <c r="N25" s="40" t="s">
        <v>139</v>
      </c>
      <c r="O25" s="40" t="s">
        <v>139</v>
      </c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4.75" customHeight="1">
      <c r="A26" s="171" t="s">
        <v>56</v>
      </c>
      <c r="B26" s="173" t="s">
        <v>48</v>
      </c>
      <c r="C26" s="173"/>
      <c r="D26" s="173"/>
      <c r="E26" s="173"/>
      <c r="F26" s="174" t="str">
        <f>GetBugSheetName()</f>
        <v>Page_Load_</v>
      </c>
      <c r="G26" s="175"/>
      <c r="H26" s="60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4"/>
    </row>
    <row r="27" spans="1:32" s="17" customFormat="1" ht="36" customHeight="1" thickBot="1">
      <c r="A27" s="172"/>
      <c r="B27" s="176" t="s">
        <v>31</v>
      </c>
      <c r="C27" s="177"/>
      <c r="D27" s="177"/>
      <c r="E27" s="178"/>
      <c r="F27" s="176"/>
      <c r="G27" s="179"/>
      <c r="H27" s="61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 t="str">
        <f t="shared" ref="S27:AF27" si="2">IF(S26="","",(SUM(LEN(S26)-LEN(SUBSTITUTE(S26,",","")))/LEN(",")) + 1 )</f>
        <v/>
      </c>
      <c r="T27" s="55" t="str">
        <f t="shared" si="2"/>
        <v/>
      </c>
      <c r="U27" s="55" t="str">
        <f t="shared" si="2"/>
        <v/>
      </c>
      <c r="V27" s="55" t="str">
        <f t="shared" si="2"/>
        <v/>
      </c>
      <c r="W27" s="55" t="str">
        <f t="shared" si="2"/>
        <v/>
      </c>
      <c r="X27" s="55" t="str">
        <f t="shared" si="2"/>
        <v/>
      </c>
      <c r="Y27" s="55" t="str">
        <f t="shared" si="2"/>
        <v/>
      </c>
      <c r="Z27" s="55" t="str">
        <f t="shared" si="2"/>
        <v/>
      </c>
      <c r="AA27" s="55" t="str">
        <f t="shared" si="2"/>
        <v/>
      </c>
      <c r="AB27" s="55" t="str">
        <f t="shared" si="2"/>
        <v/>
      </c>
      <c r="AC27" s="55" t="str">
        <f t="shared" si="2"/>
        <v/>
      </c>
      <c r="AD27" s="55" t="str">
        <f t="shared" si="2"/>
        <v/>
      </c>
      <c r="AE27" s="55" t="str">
        <f t="shared" si="2"/>
        <v/>
      </c>
      <c r="AF27" s="56" t="str">
        <f t="shared" si="2"/>
        <v/>
      </c>
    </row>
    <row r="28" spans="1:32" s="17" customFormat="1">
      <c r="H28" s="47"/>
      <c r="I28" s="47"/>
      <c r="J28" s="47"/>
      <c r="K28" s="47"/>
      <c r="L28" s="47"/>
      <c r="M28" s="47"/>
      <c r="N28" s="48"/>
      <c r="O28" s="49"/>
      <c r="P28" s="47"/>
      <c r="Q28" s="47"/>
      <c r="R28" s="47"/>
      <c r="S28" s="47"/>
      <c r="T28" s="47"/>
      <c r="U28" s="47"/>
      <c r="V28" s="47"/>
    </row>
  </sheetData>
  <sheetProtection insertRows="0"/>
  <protectedRanges>
    <protectedRange sqref="C19:G19 B4:G16 B17:B20" name="Range2_1"/>
    <protectedRange sqref="B1:O2 P2 T1 AC1:AF2" name="Range1_1"/>
    <protectedRange sqref="H22:AF26" name="Range3_1_1"/>
    <protectedRange sqref="K9:O9 H8 I7:O7 H9:I9 J8:O8 H15:N15 H10:J10 H12:L12 L10:O10 N12:O12 M11:O11 O13 I19:AF19 H16:AF16 H13:M13 H11:K11 H14:O14 Q14:Q15 R4:AF15 H5:Q5 H17:N18 P17:AF18 H20:N21 P20:AF21" name="Range2_1_1"/>
    <protectedRange sqref="H4" name="Range2_1_2_29_21"/>
    <protectedRange sqref="I4" name="Range2_1_2_29_22"/>
    <protectedRange sqref="J4" name="Range2_1_2_29_23"/>
    <protectedRange sqref="K4" name="Range2_1_2_29_24"/>
    <protectedRange sqref="L4" name="Range2_1_2_29_25"/>
    <protectedRange sqref="M4" name="Range2_1_2_29_26"/>
    <protectedRange sqref="N4" name="Range2_1_2_29_27"/>
    <protectedRange sqref="O4" name="Range2_1_2_29_28"/>
    <protectedRange sqref="H7" name="Range2_1_2_29_32"/>
    <protectedRange sqref="I8" name="Range2_1_2_29_33"/>
    <protectedRange sqref="J9 K10 M12 L11 N13 P14:P15 O15 O17:O18 O20:O21" name="Range2_1_2_29_34"/>
  </protectedRanges>
  <mergeCells count="42"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B4:G4"/>
    <mergeCell ref="B5:G5"/>
    <mergeCell ref="C14:G14"/>
    <mergeCell ref="B2:E2"/>
    <mergeCell ref="F2:H2"/>
    <mergeCell ref="I2:O2"/>
    <mergeCell ref="A26:A27"/>
    <mergeCell ref="B26:E26"/>
    <mergeCell ref="F26:G26"/>
    <mergeCell ref="B27:E27"/>
    <mergeCell ref="F27:G27"/>
    <mergeCell ref="A16:A21"/>
    <mergeCell ref="B16:G16"/>
    <mergeCell ref="C17:G17"/>
    <mergeCell ref="B21:G21"/>
    <mergeCell ref="D12:G12"/>
    <mergeCell ref="D13:G13"/>
    <mergeCell ref="C6:G6"/>
    <mergeCell ref="A22:A25"/>
    <mergeCell ref="B22:F22"/>
    <mergeCell ref="B23:F23"/>
    <mergeCell ref="B24:F24"/>
    <mergeCell ref="B25:F25"/>
    <mergeCell ref="A4:A15"/>
    <mergeCell ref="B19:G19"/>
    <mergeCell ref="C20:G20"/>
    <mergeCell ref="D8:G8"/>
    <mergeCell ref="D7:G7"/>
    <mergeCell ref="D15:G15"/>
    <mergeCell ref="D11:G11"/>
    <mergeCell ref="D10:G10"/>
    <mergeCell ref="D9:G9"/>
    <mergeCell ref="C18:G18"/>
  </mergeCells>
  <phoneticPr fontId="4"/>
  <conditionalFormatting sqref="H20:H27 R3:AF15 H14:Q15 H3:Q3 H5:Q5 H16:AF18 I19:AF27">
    <cfRule type="expression" dxfId="362" priority="371" stopIfTrue="1">
      <formula>H$25="NA"</formula>
    </cfRule>
    <cfRule type="expression" dxfId="361" priority="372" stopIfTrue="1">
      <formula>H$25="NG"</formula>
    </cfRule>
  </conditionalFormatting>
  <conditionalFormatting sqref="H4 I8 J9 N13">
    <cfRule type="expression" dxfId="360" priority="335" stopIfTrue="1">
      <formula>J$36="NA"</formula>
    </cfRule>
    <cfRule type="expression" dxfId="359" priority="336" stopIfTrue="1">
      <formula>J$36="NG"</formula>
    </cfRule>
  </conditionalFormatting>
  <conditionalFormatting sqref="H7 H4:O4 I8 J9 K10 M12 L11 P14:P15 N13 O15">
    <cfRule type="expression" dxfId="358" priority="333" stopIfTrue="1">
      <formula>#REF!="NA"</formula>
    </cfRule>
    <cfRule type="expression" dxfId="357" priority="334" stopIfTrue="1">
      <formula>#REF!="NG"</formula>
    </cfRule>
  </conditionalFormatting>
  <conditionalFormatting sqref="H4 I8 J9 N13">
    <cfRule type="expression" dxfId="356" priority="330" stopIfTrue="1">
      <formula>#REF!="NG"</formula>
    </cfRule>
    <cfRule type="expression" dxfId="355" priority="331" stopIfTrue="1">
      <formula>J$33="NA"</formula>
    </cfRule>
    <cfRule type="expression" dxfId="354" priority="332" stopIfTrue="1">
      <formula>J$33="NG"</formula>
    </cfRule>
  </conditionalFormatting>
  <conditionalFormatting sqref="H4 I8 J9 N13">
    <cfRule type="expression" dxfId="353" priority="328" stopIfTrue="1">
      <formula>J$37="NA"</formula>
    </cfRule>
    <cfRule type="expression" dxfId="352" priority="329" stopIfTrue="1">
      <formula>J$37="NG"</formula>
    </cfRule>
  </conditionalFormatting>
  <conditionalFormatting sqref="H4">
    <cfRule type="expression" dxfId="351" priority="326" stopIfTrue="1">
      <formula>J$37="NA"</formula>
    </cfRule>
    <cfRule type="expression" dxfId="350" priority="327" stopIfTrue="1">
      <formula>J$37="NG"</formula>
    </cfRule>
  </conditionalFormatting>
  <conditionalFormatting sqref="H7 H4:O4 I8 J9 K10 M12 L11 P14:P15 N13 O15">
    <cfRule type="expression" dxfId="349" priority="321" stopIfTrue="1">
      <formula>#REF!="NA"</formula>
    </cfRule>
    <cfRule type="expression" dxfId="348" priority="322" stopIfTrue="1">
      <formula>#REF!="NG"</formula>
    </cfRule>
  </conditionalFormatting>
  <conditionalFormatting sqref="H4:I4">
    <cfRule type="expression" dxfId="347" priority="319" stopIfTrue="1">
      <formula>J$36="NA"</formula>
    </cfRule>
    <cfRule type="expression" dxfId="346" priority="320" stopIfTrue="1">
      <formula>J$36="NG"</formula>
    </cfRule>
  </conditionalFormatting>
  <conditionalFormatting sqref="H4:I4">
    <cfRule type="expression" dxfId="345" priority="314" stopIfTrue="1">
      <formula>#REF!="NG"</formula>
    </cfRule>
    <cfRule type="expression" dxfId="344" priority="315" stopIfTrue="1">
      <formula>J$33="NA"</formula>
    </cfRule>
    <cfRule type="expression" dxfId="343" priority="316" stopIfTrue="1">
      <formula>J$33="NG"</formula>
    </cfRule>
  </conditionalFormatting>
  <conditionalFormatting sqref="H4:I4">
    <cfRule type="expression" dxfId="342" priority="312" stopIfTrue="1">
      <formula>J$37="NA"</formula>
    </cfRule>
    <cfRule type="expression" dxfId="341" priority="313" stopIfTrue="1">
      <formula>J$37="NG"</formula>
    </cfRule>
  </conditionalFormatting>
  <conditionalFormatting sqref="H4:I4">
    <cfRule type="expression" dxfId="340" priority="310" stopIfTrue="1">
      <formula>J$37="NA"</formula>
    </cfRule>
    <cfRule type="expression" dxfId="339" priority="311" stopIfTrue="1">
      <formula>J$37="NG"</formula>
    </cfRule>
  </conditionalFormatting>
  <conditionalFormatting sqref="H4:J4">
    <cfRule type="expression" dxfId="338" priority="303" stopIfTrue="1">
      <formula>J$36="NA"</formula>
    </cfRule>
    <cfRule type="expression" dxfId="337" priority="304" stopIfTrue="1">
      <formula>J$36="NG"</formula>
    </cfRule>
  </conditionalFormatting>
  <conditionalFormatting sqref="H4:J4">
    <cfRule type="expression" dxfId="336" priority="298" stopIfTrue="1">
      <formula>#REF!="NG"</formula>
    </cfRule>
    <cfRule type="expression" dxfId="335" priority="299" stopIfTrue="1">
      <formula>J$33="NA"</formula>
    </cfRule>
    <cfRule type="expression" dxfId="334" priority="300" stopIfTrue="1">
      <formula>J$33="NG"</formula>
    </cfRule>
  </conditionalFormatting>
  <conditionalFormatting sqref="H4:J4">
    <cfRule type="expression" dxfId="333" priority="296" stopIfTrue="1">
      <formula>J$37="NA"</formula>
    </cfRule>
    <cfRule type="expression" dxfId="332" priority="297" stopIfTrue="1">
      <formula>J$37="NG"</formula>
    </cfRule>
  </conditionalFormatting>
  <conditionalFormatting sqref="H4:J4">
    <cfRule type="expression" dxfId="331" priority="294" stopIfTrue="1">
      <formula>J$37="NA"</formula>
    </cfRule>
    <cfRule type="expression" dxfId="330" priority="295" stopIfTrue="1">
      <formula>J$37="NG"</formula>
    </cfRule>
  </conditionalFormatting>
  <conditionalFormatting sqref="H4:K4">
    <cfRule type="expression" dxfId="329" priority="287" stopIfTrue="1">
      <formula>J$36="NA"</formula>
    </cfRule>
    <cfRule type="expression" dxfId="328" priority="288" stopIfTrue="1">
      <formula>J$36="NG"</formula>
    </cfRule>
  </conditionalFormatting>
  <conditionalFormatting sqref="H4:K4">
    <cfRule type="expression" dxfId="327" priority="282" stopIfTrue="1">
      <formula>#REF!="NG"</formula>
    </cfRule>
    <cfRule type="expression" dxfId="326" priority="283" stopIfTrue="1">
      <formula>J$33="NA"</formula>
    </cfRule>
    <cfRule type="expression" dxfId="325" priority="284" stopIfTrue="1">
      <formula>J$33="NG"</formula>
    </cfRule>
  </conditionalFormatting>
  <conditionalFormatting sqref="H4:K4">
    <cfRule type="expression" dxfId="324" priority="280" stopIfTrue="1">
      <formula>J$37="NA"</formula>
    </cfRule>
    <cfRule type="expression" dxfId="323" priority="281" stopIfTrue="1">
      <formula>J$37="NG"</formula>
    </cfRule>
  </conditionalFormatting>
  <conditionalFormatting sqref="H4:K4">
    <cfRule type="expression" dxfId="322" priority="278" stopIfTrue="1">
      <formula>J$37="NA"</formula>
    </cfRule>
    <cfRule type="expression" dxfId="321" priority="279" stopIfTrue="1">
      <formula>J$37="NG"</formula>
    </cfRule>
  </conditionalFormatting>
  <conditionalFormatting sqref="H4:L4">
    <cfRule type="expression" dxfId="320" priority="271" stopIfTrue="1">
      <formula>J$36="NA"</formula>
    </cfRule>
    <cfRule type="expression" dxfId="319" priority="272" stopIfTrue="1">
      <formula>J$36="NG"</formula>
    </cfRule>
  </conditionalFormatting>
  <conditionalFormatting sqref="H4:L4">
    <cfRule type="expression" dxfId="318" priority="266" stopIfTrue="1">
      <formula>#REF!="NG"</formula>
    </cfRule>
    <cfRule type="expression" dxfId="317" priority="267" stopIfTrue="1">
      <formula>J$33="NA"</formula>
    </cfRule>
    <cfRule type="expression" dxfId="316" priority="268" stopIfTrue="1">
      <formula>J$33="NG"</formula>
    </cfRule>
  </conditionalFormatting>
  <conditionalFormatting sqref="H4:L4">
    <cfRule type="expression" dxfId="315" priority="264" stopIfTrue="1">
      <formula>J$37="NA"</formula>
    </cfRule>
    <cfRule type="expression" dxfId="314" priority="265" stopIfTrue="1">
      <formula>J$37="NG"</formula>
    </cfRule>
  </conditionalFormatting>
  <conditionalFormatting sqref="H4:L4">
    <cfRule type="expression" dxfId="313" priority="262" stopIfTrue="1">
      <formula>J$37="NA"</formula>
    </cfRule>
    <cfRule type="expression" dxfId="312" priority="263" stopIfTrue="1">
      <formula>J$37="NG"</formula>
    </cfRule>
  </conditionalFormatting>
  <conditionalFormatting sqref="H4:M4">
    <cfRule type="expression" dxfId="311" priority="255" stopIfTrue="1">
      <formula>J$36="NA"</formula>
    </cfRule>
    <cfRule type="expression" dxfId="310" priority="256" stopIfTrue="1">
      <formula>J$36="NG"</formula>
    </cfRule>
  </conditionalFormatting>
  <conditionalFormatting sqref="H4:M4">
    <cfRule type="expression" dxfId="309" priority="250" stopIfTrue="1">
      <formula>#REF!="NG"</formula>
    </cfRule>
    <cfRule type="expression" dxfId="308" priority="251" stopIfTrue="1">
      <formula>J$33="NA"</formula>
    </cfRule>
    <cfRule type="expression" dxfId="307" priority="252" stopIfTrue="1">
      <formula>J$33="NG"</formula>
    </cfRule>
  </conditionalFormatting>
  <conditionalFormatting sqref="H4:M4">
    <cfRule type="expression" dxfId="306" priority="248" stopIfTrue="1">
      <formula>J$37="NA"</formula>
    </cfRule>
    <cfRule type="expression" dxfId="305" priority="249" stopIfTrue="1">
      <formula>J$37="NG"</formula>
    </cfRule>
  </conditionalFormatting>
  <conditionalFormatting sqref="H4:M4">
    <cfRule type="expression" dxfId="304" priority="246" stopIfTrue="1">
      <formula>J$37="NA"</formula>
    </cfRule>
    <cfRule type="expression" dxfId="303" priority="247" stopIfTrue="1">
      <formula>J$37="NG"</formula>
    </cfRule>
  </conditionalFormatting>
  <conditionalFormatting sqref="H4:N4">
    <cfRule type="expression" dxfId="302" priority="239" stopIfTrue="1">
      <formula>J$36="NA"</formula>
    </cfRule>
    <cfRule type="expression" dxfId="301" priority="240" stopIfTrue="1">
      <formula>J$36="NG"</formula>
    </cfRule>
  </conditionalFormatting>
  <conditionalFormatting sqref="H4:N4">
    <cfRule type="expression" dxfId="300" priority="234" stopIfTrue="1">
      <formula>#REF!="NG"</formula>
    </cfRule>
    <cfRule type="expression" dxfId="299" priority="235" stopIfTrue="1">
      <formula>J$33="NA"</formula>
    </cfRule>
    <cfRule type="expression" dxfId="298" priority="236" stopIfTrue="1">
      <formula>J$33="NG"</formula>
    </cfRule>
  </conditionalFormatting>
  <conditionalFormatting sqref="H4:N4">
    <cfRule type="expression" dxfId="297" priority="232" stopIfTrue="1">
      <formula>J$37="NA"</formula>
    </cfRule>
    <cfRule type="expression" dxfId="296" priority="233" stopIfTrue="1">
      <formula>J$37="NG"</formula>
    </cfRule>
  </conditionalFormatting>
  <conditionalFormatting sqref="H4:N4">
    <cfRule type="expression" dxfId="295" priority="230" stopIfTrue="1">
      <formula>J$37="NA"</formula>
    </cfRule>
    <cfRule type="expression" dxfId="294" priority="231" stopIfTrue="1">
      <formula>J$37="NG"</formula>
    </cfRule>
  </conditionalFormatting>
  <conditionalFormatting sqref="O4">
    <cfRule type="expression" dxfId="293" priority="223" stopIfTrue="1">
      <formula>Q$36="NA"</formula>
    </cfRule>
    <cfRule type="expression" dxfId="292" priority="224" stopIfTrue="1">
      <formula>Q$36="NG"</formula>
    </cfRule>
  </conditionalFormatting>
  <conditionalFormatting sqref="O4">
    <cfRule type="expression" dxfId="291" priority="218" stopIfTrue="1">
      <formula>#REF!="NG"</formula>
    </cfRule>
    <cfRule type="expression" dxfId="290" priority="219" stopIfTrue="1">
      <formula>Q$33="NA"</formula>
    </cfRule>
    <cfRule type="expression" dxfId="289" priority="220" stopIfTrue="1">
      <formula>Q$33="NG"</formula>
    </cfRule>
  </conditionalFormatting>
  <conditionalFormatting sqref="O4">
    <cfRule type="expression" dxfId="288" priority="216" stopIfTrue="1">
      <formula>Q$37="NA"</formula>
    </cfRule>
    <cfRule type="expression" dxfId="287" priority="217" stopIfTrue="1">
      <formula>Q$37="NG"</formula>
    </cfRule>
  </conditionalFormatting>
  <conditionalFormatting sqref="O4">
    <cfRule type="expression" dxfId="286" priority="214" stopIfTrue="1">
      <formula>Q$37="NA"</formula>
    </cfRule>
    <cfRule type="expression" dxfId="285" priority="215" stopIfTrue="1">
      <formula>Q$37="NG"</formula>
    </cfRule>
  </conditionalFormatting>
  <conditionalFormatting sqref="H7">
    <cfRule type="expression" dxfId="284" priority="207" stopIfTrue="1">
      <formula>J$36="NA"</formula>
    </cfRule>
    <cfRule type="expression" dxfId="283" priority="208" stopIfTrue="1">
      <formula>J$36="NG"</formula>
    </cfRule>
  </conditionalFormatting>
  <conditionalFormatting sqref="H7">
    <cfRule type="expression" dxfId="282" priority="202" stopIfTrue="1">
      <formula>#REF!="NG"</formula>
    </cfRule>
    <cfRule type="expression" dxfId="281" priority="203" stopIfTrue="1">
      <formula>J$33="NA"</formula>
    </cfRule>
    <cfRule type="expression" dxfId="280" priority="204" stopIfTrue="1">
      <formula>J$33="NG"</formula>
    </cfRule>
  </conditionalFormatting>
  <conditionalFormatting sqref="H7">
    <cfRule type="expression" dxfId="279" priority="200" stopIfTrue="1">
      <formula>J$37="NA"</formula>
    </cfRule>
    <cfRule type="expression" dxfId="278" priority="201" stopIfTrue="1">
      <formula>J$37="NG"</formula>
    </cfRule>
  </conditionalFormatting>
  <conditionalFormatting sqref="H7">
    <cfRule type="expression" dxfId="277" priority="198" stopIfTrue="1">
      <formula>J$37="NA"</formula>
    </cfRule>
    <cfRule type="expression" dxfId="276" priority="199" stopIfTrue="1">
      <formula>J$37="NG"</formula>
    </cfRule>
  </conditionalFormatting>
  <conditionalFormatting sqref="H7">
    <cfRule type="expression" dxfId="275" priority="191" stopIfTrue="1">
      <formula>J$36="NA"</formula>
    </cfRule>
    <cfRule type="expression" dxfId="274" priority="192" stopIfTrue="1">
      <formula>J$36="NG"</formula>
    </cfRule>
  </conditionalFormatting>
  <conditionalFormatting sqref="H7">
    <cfRule type="expression" dxfId="273" priority="186" stopIfTrue="1">
      <formula>#REF!="NG"</formula>
    </cfRule>
    <cfRule type="expression" dxfId="272" priority="187" stopIfTrue="1">
      <formula>J$33="NA"</formula>
    </cfRule>
    <cfRule type="expression" dxfId="271" priority="188" stopIfTrue="1">
      <formula>J$33="NG"</formula>
    </cfRule>
  </conditionalFormatting>
  <conditionalFormatting sqref="H7">
    <cfRule type="expression" dxfId="270" priority="184" stopIfTrue="1">
      <formula>J$37="NA"</formula>
    </cfRule>
    <cfRule type="expression" dxfId="269" priority="185" stopIfTrue="1">
      <formula>J$37="NG"</formula>
    </cfRule>
  </conditionalFormatting>
  <conditionalFormatting sqref="H7">
    <cfRule type="expression" dxfId="268" priority="182" stopIfTrue="1">
      <formula>J$37="NA"</formula>
    </cfRule>
    <cfRule type="expression" dxfId="267" priority="183" stopIfTrue="1">
      <formula>J$37="NG"</formula>
    </cfRule>
  </conditionalFormatting>
  <conditionalFormatting sqref="H7">
    <cfRule type="expression" dxfId="266" priority="175" stopIfTrue="1">
      <formula>J$36="NA"</formula>
    </cfRule>
    <cfRule type="expression" dxfId="265" priority="176" stopIfTrue="1">
      <formula>J$36="NG"</formula>
    </cfRule>
  </conditionalFormatting>
  <conditionalFormatting sqref="H7">
    <cfRule type="expression" dxfId="264" priority="170" stopIfTrue="1">
      <formula>#REF!="NG"</formula>
    </cfRule>
    <cfRule type="expression" dxfId="263" priority="171" stopIfTrue="1">
      <formula>J$33="NA"</formula>
    </cfRule>
    <cfRule type="expression" dxfId="262" priority="172" stopIfTrue="1">
      <formula>J$33="NG"</formula>
    </cfRule>
  </conditionalFormatting>
  <conditionalFormatting sqref="H7">
    <cfRule type="expression" dxfId="261" priority="168" stopIfTrue="1">
      <formula>J$37="NA"</formula>
    </cfRule>
    <cfRule type="expression" dxfId="260" priority="169" stopIfTrue="1">
      <formula>J$37="NG"</formula>
    </cfRule>
  </conditionalFormatting>
  <conditionalFormatting sqref="H7">
    <cfRule type="expression" dxfId="259" priority="166" stopIfTrue="1">
      <formula>J$37="NA"</formula>
    </cfRule>
    <cfRule type="expression" dxfId="258" priority="167" stopIfTrue="1">
      <formula>J$37="NG"</formula>
    </cfRule>
  </conditionalFormatting>
  <conditionalFormatting sqref="K10">
    <cfRule type="expression" dxfId="257" priority="155" stopIfTrue="1">
      <formula>M$36="NA"</formula>
    </cfRule>
    <cfRule type="expression" dxfId="256" priority="156" stopIfTrue="1">
      <formula>M$36="NG"</formula>
    </cfRule>
  </conditionalFormatting>
  <conditionalFormatting sqref="K10">
    <cfRule type="expression" dxfId="255" priority="152" stopIfTrue="1">
      <formula>#REF!="NG"</formula>
    </cfRule>
    <cfRule type="expression" dxfId="254" priority="153" stopIfTrue="1">
      <formula>M$33="NA"</formula>
    </cfRule>
    <cfRule type="expression" dxfId="253" priority="154" stopIfTrue="1">
      <formula>M$33="NG"</formula>
    </cfRule>
  </conditionalFormatting>
  <conditionalFormatting sqref="K10">
    <cfRule type="expression" dxfId="252" priority="150" stopIfTrue="1">
      <formula>M$37="NA"</formula>
    </cfRule>
    <cfRule type="expression" dxfId="251" priority="151" stopIfTrue="1">
      <formula>M$37="NG"</formula>
    </cfRule>
  </conditionalFormatting>
  <conditionalFormatting sqref="K10">
    <cfRule type="expression" dxfId="250" priority="148" stopIfTrue="1">
      <formula>M$37="NA"</formula>
    </cfRule>
    <cfRule type="expression" dxfId="249" priority="149" stopIfTrue="1">
      <formula>M$37="NG"</formula>
    </cfRule>
  </conditionalFormatting>
  <conditionalFormatting sqref="M12">
    <cfRule type="expression" dxfId="248" priority="139" stopIfTrue="1">
      <formula>O$36="NA"</formula>
    </cfRule>
    <cfRule type="expression" dxfId="247" priority="140" stopIfTrue="1">
      <formula>O$36="NG"</formula>
    </cfRule>
  </conditionalFormatting>
  <conditionalFormatting sqref="M12">
    <cfRule type="expression" dxfId="246" priority="136" stopIfTrue="1">
      <formula>#REF!="NG"</formula>
    </cfRule>
    <cfRule type="expression" dxfId="245" priority="137" stopIfTrue="1">
      <formula>O$33="NA"</formula>
    </cfRule>
    <cfRule type="expression" dxfId="244" priority="138" stopIfTrue="1">
      <formula>O$33="NG"</formula>
    </cfRule>
  </conditionalFormatting>
  <conditionalFormatting sqref="M12">
    <cfRule type="expression" dxfId="243" priority="134" stopIfTrue="1">
      <formula>O$37="NA"</formula>
    </cfRule>
    <cfRule type="expression" dxfId="242" priority="135" stopIfTrue="1">
      <formula>O$37="NG"</formula>
    </cfRule>
  </conditionalFormatting>
  <conditionalFormatting sqref="M12">
    <cfRule type="expression" dxfId="241" priority="132" stopIfTrue="1">
      <formula>O$37="NA"</formula>
    </cfRule>
    <cfRule type="expression" dxfId="240" priority="133" stopIfTrue="1">
      <formula>O$37="NG"</formula>
    </cfRule>
  </conditionalFormatting>
  <conditionalFormatting sqref="L11">
    <cfRule type="expression" dxfId="239" priority="123" stopIfTrue="1">
      <formula>N$36="NA"</formula>
    </cfRule>
    <cfRule type="expression" dxfId="238" priority="124" stopIfTrue="1">
      <formula>N$36="NG"</formula>
    </cfRule>
  </conditionalFormatting>
  <conditionalFormatting sqref="L11">
    <cfRule type="expression" dxfId="237" priority="120" stopIfTrue="1">
      <formula>#REF!="NG"</formula>
    </cfRule>
    <cfRule type="expression" dxfId="236" priority="121" stopIfTrue="1">
      <formula>N$33="NA"</formula>
    </cfRule>
    <cfRule type="expression" dxfId="235" priority="122" stopIfTrue="1">
      <formula>N$33="NG"</formula>
    </cfRule>
  </conditionalFormatting>
  <conditionalFormatting sqref="L11">
    <cfRule type="expression" dxfId="234" priority="118" stopIfTrue="1">
      <formula>N$37="NA"</formula>
    </cfRule>
    <cfRule type="expression" dxfId="233" priority="119" stopIfTrue="1">
      <formula>N$37="NG"</formula>
    </cfRule>
  </conditionalFormatting>
  <conditionalFormatting sqref="L11">
    <cfRule type="expression" dxfId="232" priority="116" stopIfTrue="1">
      <formula>N$37="NA"</formula>
    </cfRule>
    <cfRule type="expression" dxfId="231" priority="117" stopIfTrue="1">
      <formula>N$37="NG"</formula>
    </cfRule>
  </conditionalFormatting>
  <conditionalFormatting sqref="I8 J9 H7 H4:O4 K10 M12 L11 P14:P15 N13 O15">
    <cfRule type="expression" dxfId="230" priority="426" stopIfTrue="1">
      <formula>#REF!="NG"</formula>
    </cfRule>
    <cfRule type="expression" dxfId="229" priority="427" stopIfTrue="1">
      <formula>#REF!="NA"</formula>
    </cfRule>
    <cfRule type="expression" dxfId="228" priority="428" stopIfTrue="1">
      <formula>#REF!="NG"</formula>
    </cfRule>
  </conditionalFormatting>
  <conditionalFormatting sqref="H7:O13 H4:O4">
    <cfRule type="expression" dxfId="227" priority="431" stopIfTrue="1">
      <formula>J$25="NA"</formula>
    </cfRule>
    <cfRule type="expression" dxfId="226" priority="432" stopIfTrue="1">
      <formula>J$25="NG"</formula>
    </cfRule>
  </conditionalFormatting>
  <conditionalFormatting sqref="P14:P15">
    <cfRule type="expression" dxfId="225" priority="439" stopIfTrue="1">
      <formula>P$36="NA"</formula>
    </cfRule>
    <cfRule type="expression" dxfId="224" priority="440" stopIfTrue="1">
      <formula>P$36="NG"</formula>
    </cfRule>
  </conditionalFormatting>
  <conditionalFormatting sqref="P14:P15">
    <cfRule type="expression" dxfId="223" priority="453" stopIfTrue="1">
      <formula>#REF!="NG"</formula>
    </cfRule>
    <cfRule type="expression" dxfId="222" priority="454" stopIfTrue="1">
      <formula>P$33="NA"</formula>
    </cfRule>
    <cfRule type="expression" dxfId="221" priority="455" stopIfTrue="1">
      <formula>P$33="NG"</formula>
    </cfRule>
  </conditionalFormatting>
  <conditionalFormatting sqref="P14:P15">
    <cfRule type="expression" dxfId="220" priority="463" stopIfTrue="1">
      <formula>P$37="NA"</formula>
    </cfRule>
    <cfRule type="expression" dxfId="219" priority="464" stopIfTrue="1">
      <formula>P$37="NG"</formula>
    </cfRule>
  </conditionalFormatting>
  <conditionalFormatting sqref="O15">
    <cfRule type="expression" dxfId="218" priority="79" stopIfTrue="1">
      <formula>Q$36="NA"</formula>
    </cfRule>
    <cfRule type="expression" dxfId="217" priority="80" stopIfTrue="1">
      <formula>Q$36="NG"</formula>
    </cfRule>
  </conditionalFormatting>
  <conditionalFormatting sqref="O15">
    <cfRule type="expression" dxfId="216" priority="74" stopIfTrue="1">
      <formula>#REF!="NG"</formula>
    </cfRule>
    <cfRule type="expression" dxfId="215" priority="75" stopIfTrue="1">
      <formula>Q$33="NA"</formula>
    </cfRule>
    <cfRule type="expression" dxfId="214" priority="76" stopIfTrue="1">
      <formula>Q$33="NG"</formula>
    </cfRule>
  </conditionalFormatting>
  <conditionalFormatting sqref="O15">
    <cfRule type="expression" dxfId="213" priority="72" stopIfTrue="1">
      <formula>Q$37="NA"</formula>
    </cfRule>
    <cfRule type="expression" dxfId="212" priority="73" stopIfTrue="1">
      <formula>Q$37="NG"</formula>
    </cfRule>
  </conditionalFormatting>
  <conditionalFormatting sqref="O15">
    <cfRule type="expression" dxfId="211" priority="65" stopIfTrue="1">
      <formula>Q$25="NA"</formula>
    </cfRule>
    <cfRule type="expression" dxfId="210" priority="66" stopIfTrue="1">
      <formula>Q$25="NG"</formula>
    </cfRule>
  </conditionalFormatting>
  <conditionalFormatting sqref="O17">
    <cfRule type="expression" dxfId="209" priority="63" stopIfTrue="1">
      <formula>#REF!="NA"</formula>
    </cfRule>
    <cfRule type="expression" dxfId="208" priority="64" stopIfTrue="1">
      <formula>#REF!="NG"</formula>
    </cfRule>
  </conditionalFormatting>
  <conditionalFormatting sqref="O17">
    <cfRule type="expression" dxfId="207" priority="61" stopIfTrue="1">
      <formula>#REF!="NA"</formula>
    </cfRule>
    <cfRule type="expression" dxfId="206" priority="62" stopIfTrue="1">
      <formula>#REF!="NG"</formula>
    </cfRule>
  </conditionalFormatting>
  <conditionalFormatting sqref="O17">
    <cfRule type="expression" dxfId="205" priority="58" stopIfTrue="1">
      <formula>#REF!="NG"</formula>
    </cfRule>
    <cfRule type="expression" dxfId="204" priority="59" stopIfTrue="1">
      <formula>#REF!="NA"</formula>
    </cfRule>
    <cfRule type="expression" dxfId="203" priority="60" stopIfTrue="1">
      <formula>#REF!="NG"</formula>
    </cfRule>
  </conditionalFormatting>
  <conditionalFormatting sqref="O17">
    <cfRule type="expression" dxfId="202" priority="56" stopIfTrue="1">
      <formula>Q$36="NA"</formula>
    </cfRule>
    <cfRule type="expression" dxfId="201" priority="57" stopIfTrue="1">
      <formula>Q$36="NG"</formula>
    </cfRule>
  </conditionalFormatting>
  <conditionalFormatting sqref="O17">
    <cfRule type="expression" dxfId="200" priority="53" stopIfTrue="1">
      <formula>#REF!="NG"</formula>
    </cfRule>
    <cfRule type="expression" dxfId="199" priority="54" stopIfTrue="1">
      <formula>Q$33="NA"</formula>
    </cfRule>
    <cfRule type="expression" dxfId="198" priority="55" stopIfTrue="1">
      <formula>Q$33="NG"</formula>
    </cfRule>
  </conditionalFormatting>
  <conditionalFormatting sqref="O17">
    <cfRule type="expression" dxfId="197" priority="51" stopIfTrue="1">
      <formula>Q$37="NA"</formula>
    </cfRule>
    <cfRule type="expression" dxfId="196" priority="52" stopIfTrue="1">
      <formula>Q$37="NG"</formula>
    </cfRule>
  </conditionalFormatting>
  <conditionalFormatting sqref="O17">
    <cfRule type="expression" dxfId="195" priority="49" stopIfTrue="1">
      <formula>Q$25="NA"</formula>
    </cfRule>
    <cfRule type="expression" dxfId="194" priority="50" stopIfTrue="1">
      <formula>Q$25="NG"</formula>
    </cfRule>
  </conditionalFormatting>
  <conditionalFormatting sqref="O17:O18">
    <cfRule type="expression" dxfId="193" priority="47" stopIfTrue="1">
      <formula>#REF!="NA"</formula>
    </cfRule>
    <cfRule type="expression" dxfId="192" priority="48" stopIfTrue="1">
      <formula>#REF!="NG"</formula>
    </cfRule>
  </conditionalFormatting>
  <conditionalFormatting sqref="O17:O18">
    <cfRule type="expression" dxfId="191" priority="45" stopIfTrue="1">
      <formula>#REF!="NA"</formula>
    </cfRule>
    <cfRule type="expression" dxfId="190" priority="46" stopIfTrue="1">
      <formula>#REF!="NG"</formula>
    </cfRule>
  </conditionalFormatting>
  <conditionalFormatting sqref="O17:O18">
    <cfRule type="expression" dxfId="189" priority="42" stopIfTrue="1">
      <formula>#REF!="NG"</formula>
    </cfRule>
    <cfRule type="expression" dxfId="188" priority="43" stopIfTrue="1">
      <formula>#REF!="NA"</formula>
    </cfRule>
    <cfRule type="expression" dxfId="187" priority="44" stopIfTrue="1">
      <formula>#REF!="NG"</formula>
    </cfRule>
  </conditionalFormatting>
  <conditionalFormatting sqref="O17:O18">
    <cfRule type="expression" dxfId="186" priority="40" stopIfTrue="1">
      <formula>Q$36="NA"</formula>
    </cfRule>
    <cfRule type="expression" dxfId="185" priority="41" stopIfTrue="1">
      <formula>Q$36="NG"</formula>
    </cfRule>
  </conditionalFormatting>
  <conditionalFormatting sqref="O17:O18">
    <cfRule type="expression" dxfId="184" priority="37" stopIfTrue="1">
      <formula>#REF!="NG"</formula>
    </cfRule>
    <cfRule type="expression" dxfId="183" priority="38" stopIfTrue="1">
      <formula>Q$33="NA"</formula>
    </cfRule>
    <cfRule type="expression" dxfId="182" priority="39" stopIfTrue="1">
      <formula>Q$33="NG"</formula>
    </cfRule>
  </conditionalFormatting>
  <conditionalFormatting sqref="O17:O18">
    <cfRule type="expression" dxfId="181" priority="35" stopIfTrue="1">
      <formula>Q$37="NA"</formula>
    </cfRule>
    <cfRule type="expression" dxfId="180" priority="36" stopIfTrue="1">
      <formula>Q$37="NG"</formula>
    </cfRule>
  </conditionalFormatting>
  <conditionalFormatting sqref="O17:O18">
    <cfRule type="expression" dxfId="179" priority="33" stopIfTrue="1">
      <formula>Q$25="NA"</formula>
    </cfRule>
    <cfRule type="expression" dxfId="178" priority="34" stopIfTrue="1">
      <formula>Q$25="NG"</formula>
    </cfRule>
  </conditionalFormatting>
  <conditionalFormatting sqref="O17:O18 O20">
    <cfRule type="expression" dxfId="177" priority="31" stopIfTrue="1">
      <formula>#REF!="NA"</formula>
    </cfRule>
    <cfRule type="expression" dxfId="176" priority="32" stopIfTrue="1">
      <formula>#REF!="NG"</formula>
    </cfRule>
  </conditionalFormatting>
  <conditionalFormatting sqref="O17:O18 O20">
    <cfRule type="expression" dxfId="175" priority="29" stopIfTrue="1">
      <formula>#REF!="NA"</formula>
    </cfRule>
    <cfRule type="expression" dxfId="174" priority="30" stopIfTrue="1">
      <formula>#REF!="NG"</formula>
    </cfRule>
  </conditionalFormatting>
  <conditionalFormatting sqref="O17:O18 O20">
    <cfRule type="expression" dxfId="173" priority="26" stopIfTrue="1">
      <formula>#REF!="NG"</formula>
    </cfRule>
    <cfRule type="expression" dxfId="172" priority="27" stopIfTrue="1">
      <formula>#REF!="NA"</formula>
    </cfRule>
    <cfRule type="expression" dxfId="171" priority="28" stopIfTrue="1">
      <formula>#REF!="NG"</formula>
    </cfRule>
  </conditionalFormatting>
  <conditionalFormatting sqref="O17:O18 O20">
    <cfRule type="expression" dxfId="170" priority="24" stopIfTrue="1">
      <formula>Q$36="NA"</formula>
    </cfRule>
    <cfRule type="expression" dxfId="169" priority="25" stopIfTrue="1">
      <formula>Q$36="NG"</formula>
    </cfRule>
  </conditionalFormatting>
  <conditionalFormatting sqref="O17:O18 O20">
    <cfRule type="expression" dxfId="168" priority="21" stopIfTrue="1">
      <formula>#REF!="NG"</formula>
    </cfRule>
    <cfRule type="expression" dxfId="167" priority="22" stopIfTrue="1">
      <formula>Q$33="NA"</formula>
    </cfRule>
    <cfRule type="expression" dxfId="166" priority="23" stopIfTrue="1">
      <formula>Q$33="NG"</formula>
    </cfRule>
  </conditionalFormatting>
  <conditionalFormatting sqref="O17:O18 O20">
    <cfRule type="expression" dxfId="165" priority="19" stopIfTrue="1">
      <formula>Q$37="NA"</formula>
    </cfRule>
    <cfRule type="expression" dxfId="164" priority="20" stopIfTrue="1">
      <formula>Q$37="NG"</formula>
    </cfRule>
  </conditionalFormatting>
  <conditionalFormatting sqref="O17:O18 O20">
    <cfRule type="expression" dxfId="163" priority="17" stopIfTrue="1">
      <formula>Q$25="NA"</formula>
    </cfRule>
    <cfRule type="expression" dxfId="162" priority="18" stopIfTrue="1">
      <formula>Q$25="NG"</formula>
    </cfRule>
  </conditionalFormatting>
  <conditionalFormatting sqref="O17:O18 O20:O21">
    <cfRule type="expression" dxfId="161" priority="15" stopIfTrue="1">
      <formula>#REF!="NA"</formula>
    </cfRule>
    <cfRule type="expression" dxfId="160" priority="16" stopIfTrue="1">
      <formula>#REF!="NG"</formula>
    </cfRule>
  </conditionalFormatting>
  <conditionalFormatting sqref="O17:O18 O20:O21">
    <cfRule type="expression" dxfId="159" priority="13" stopIfTrue="1">
      <formula>#REF!="NA"</formula>
    </cfRule>
    <cfRule type="expression" dxfId="158" priority="14" stopIfTrue="1">
      <formula>#REF!="NG"</formula>
    </cfRule>
  </conditionalFormatting>
  <conditionalFormatting sqref="O17:O18 O20:O21">
    <cfRule type="expression" dxfId="157" priority="10" stopIfTrue="1">
      <formula>#REF!="NG"</formula>
    </cfRule>
    <cfRule type="expression" dxfId="156" priority="11" stopIfTrue="1">
      <formula>#REF!="NA"</formula>
    </cfRule>
    <cfRule type="expression" dxfId="155" priority="12" stopIfTrue="1">
      <formula>#REF!="NG"</formula>
    </cfRule>
  </conditionalFormatting>
  <conditionalFormatting sqref="O17:O18 O20:O21">
    <cfRule type="expression" dxfId="154" priority="8" stopIfTrue="1">
      <formula>Q$36="NA"</formula>
    </cfRule>
    <cfRule type="expression" dxfId="153" priority="9" stopIfTrue="1">
      <formula>Q$36="NG"</formula>
    </cfRule>
  </conditionalFormatting>
  <conditionalFormatting sqref="O17:O18 O20:O21">
    <cfRule type="expression" dxfId="152" priority="5" stopIfTrue="1">
      <formula>#REF!="NG"</formula>
    </cfRule>
    <cfRule type="expression" dxfId="151" priority="6" stopIfTrue="1">
      <formula>Q$33="NA"</formula>
    </cfRule>
    <cfRule type="expression" dxfId="150" priority="7" stopIfTrue="1">
      <formula>Q$33="NG"</formula>
    </cfRule>
  </conditionalFormatting>
  <conditionalFormatting sqref="O17:O18 O20:O21">
    <cfRule type="expression" dxfId="149" priority="3" stopIfTrue="1">
      <formula>Q$37="NA"</formula>
    </cfRule>
    <cfRule type="expression" dxfId="148" priority="4" stopIfTrue="1">
      <formula>Q$37="NG"</formula>
    </cfRule>
  </conditionalFormatting>
  <conditionalFormatting sqref="O17:O18 O20:O21">
    <cfRule type="expression" dxfId="147" priority="1" stopIfTrue="1">
      <formula>Q$25="NA"</formula>
    </cfRule>
    <cfRule type="expression" dxfId="146" priority="2" stopIfTrue="1">
      <formula>Q$25="NG"</formula>
    </cfRule>
  </conditionalFormatting>
  <dataValidations count="10">
    <dataValidation allowBlank="1" showInputMessage="1" showErrorMessage="1" promptTitle="Condition Type" prompt="N : Normal _x000a_A : Abnormal _x000a_B : Boundary" sqref="G22"/>
    <dataValidation allowBlank="1" showInputMessage="1" showErrorMessage="1" promptTitle="Enter" prompt="Name of the person who performed the test" sqref="G23"/>
    <dataValidation allowBlank="1" showInputMessage="1" showErrorMessage="1" promptTitle="Testing Date" prompt="Date on which test was performed in yyyy/mm/dd format" sqref="G2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5"/>
    <dataValidation allowBlank="1" showInputMessage="1" showErrorMessage="1" promptTitle="Bug ID" prompt="Unique ID throughout the project._x000a_For every Bug found during Test as well as Re-Test, a new Bug ID needs to be entered here (as a comma seperated value)" sqref="B26:E26"/>
    <dataValidation allowBlank="1" showInputMessage="1" showErrorMessage="1" promptTitle="PCL sheet name" prompt=" " sqref="F26:G26"/>
    <dataValidation type="list" allowBlank="1" showInputMessage="1" showErrorMessage="1" sqref="H25:AF25">
      <formula1>"OK, NG, NA, PT"</formula1>
    </dataValidation>
    <dataValidation type="list" allowBlank="1" showInputMessage="1" showErrorMessage="1" sqref="H22:AF22">
      <formula1>"N, A, B"</formula1>
    </dataValidation>
    <dataValidation allowBlank="1" showInputMessage="1" showErrorMessage="1" promptTitle="Check points" prompt="that need / need not be executed" sqref="A16:A21"/>
    <dataValidation allowBlank="1" showInputMessage="1" showErrorMessage="1" promptTitle="Input conditions" prompt="that need to be checked." sqref="A4:A15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F19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16" sqref="H16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7" t="s">
        <v>68</v>
      </c>
      <c r="C1" s="188"/>
      <c r="D1" s="188"/>
      <c r="E1" s="189"/>
      <c r="F1" s="187" t="s">
        <v>164</v>
      </c>
      <c r="G1" s="188"/>
      <c r="H1" s="188"/>
      <c r="I1" s="188"/>
      <c r="J1" s="188"/>
      <c r="K1" s="188"/>
      <c r="L1" s="188"/>
      <c r="M1" s="188"/>
      <c r="N1" s="188"/>
      <c r="O1" s="189"/>
      <c r="P1" s="168" t="s">
        <v>0</v>
      </c>
      <c r="Q1" s="169"/>
      <c r="R1" s="169"/>
      <c r="S1" s="170"/>
      <c r="T1" s="187" t="s">
        <v>160</v>
      </c>
      <c r="U1" s="188"/>
      <c r="V1" s="188"/>
      <c r="W1" s="188"/>
      <c r="X1" s="188"/>
      <c r="Y1" s="188"/>
      <c r="Z1" s="189"/>
      <c r="AA1" s="190" t="s">
        <v>11</v>
      </c>
      <c r="AB1" s="190"/>
      <c r="AC1" s="191">
        <v>43712</v>
      </c>
      <c r="AD1" s="191"/>
      <c r="AE1" s="191"/>
      <c r="AF1" s="192"/>
    </row>
    <row r="2" spans="1:32" ht="20.100000000000001" customHeight="1" thickBot="1">
      <c r="A2" s="64" t="s">
        <v>4</v>
      </c>
      <c r="B2" s="181" t="s">
        <v>165</v>
      </c>
      <c r="C2" s="182"/>
      <c r="D2" s="182"/>
      <c r="E2" s="183"/>
      <c r="F2" s="181" t="s">
        <v>162</v>
      </c>
      <c r="G2" s="182"/>
      <c r="H2" s="183"/>
      <c r="I2" s="176" t="s">
        <v>163</v>
      </c>
      <c r="J2" s="177"/>
      <c r="K2" s="177"/>
      <c r="L2" s="177"/>
      <c r="M2" s="177"/>
      <c r="N2" s="177"/>
      <c r="O2" s="178"/>
      <c r="P2" s="181"/>
      <c r="Q2" s="182"/>
      <c r="R2" s="182"/>
      <c r="S2" s="182"/>
      <c r="T2" s="182"/>
      <c r="U2" s="182"/>
      <c r="V2" s="182"/>
      <c r="W2" s="182"/>
      <c r="X2" s="182"/>
      <c r="Y2" s="182"/>
      <c r="Z2" s="183"/>
      <c r="AA2" s="184" t="s">
        <v>13</v>
      </c>
      <c r="AB2" s="185"/>
      <c r="AC2" s="181" t="s">
        <v>14</v>
      </c>
      <c r="AD2" s="182"/>
      <c r="AE2" s="182"/>
      <c r="AF2" s="201"/>
    </row>
    <row r="3" spans="1:32" ht="37.5" customHeight="1" thickBot="1">
      <c r="A3" s="66" t="s">
        <v>51</v>
      </c>
      <c r="B3" s="10"/>
      <c r="C3" s="10"/>
      <c r="D3" s="10"/>
      <c r="E3" s="10"/>
      <c r="F3" s="10"/>
      <c r="G3" s="65" t="s">
        <v>52</v>
      </c>
      <c r="H3" s="11">
        <f>IF(COUNTA(H4:H13)&gt;0,1,"")</f>
        <v>1</v>
      </c>
      <c r="I3" s="12" t="str">
        <f t="shared" ref="I3:AF3" si="0">IF(COUNTA(I4:I13)&gt;0,IF(H3&gt;0,H3+1,""),"")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2" t="s">
        <v>53</v>
      </c>
      <c r="B4" s="204" t="s">
        <v>166</v>
      </c>
      <c r="C4" s="204"/>
      <c r="D4" s="204"/>
      <c r="E4" s="204"/>
      <c r="F4" s="204"/>
      <c r="G4" s="20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3"/>
      <c r="B5" s="252" t="s">
        <v>167</v>
      </c>
      <c r="C5" s="257"/>
      <c r="D5" s="257"/>
      <c r="E5" s="257"/>
      <c r="F5" s="257"/>
      <c r="G5" s="25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03"/>
      <c r="B6" s="107"/>
      <c r="C6" s="250" t="s">
        <v>168</v>
      </c>
      <c r="D6" s="250"/>
      <c r="E6" s="250"/>
      <c r="F6" s="250"/>
      <c r="G6" s="251"/>
      <c r="H6" s="82" t="s">
        <v>104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07" t="s">
        <v>54</v>
      </c>
      <c r="B7" s="210" t="s">
        <v>26</v>
      </c>
      <c r="C7" s="204"/>
      <c r="D7" s="204"/>
      <c r="E7" s="204"/>
      <c r="F7" s="204"/>
      <c r="G7" s="204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08"/>
      <c r="B8" s="28"/>
      <c r="C8" s="254" t="s">
        <v>169</v>
      </c>
      <c r="D8" s="253"/>
      <c r="E8" s="253"/>
      <c r="F8" s="253"/>
      <c r="G8" s="253"/>
      <c r="H8" s="22"/>
      <c r="I8" s="23"/>
      <c r="J8" s="23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08"/>
      <c r="B9" s="211"/>
      <c r="C9" s="108"/>
      <c r="D9" s="252" t="s">
        <v>170</v>
      </c>
      <c r="E9" s="253"/>
      <c r="F9" s="253"/>
      <c r="G9" s="253"/>
      <c r="H9" s="82" t="s">
        <v>104</v>
      </c>
      <c r="I9" s="23"/>
      <c r="J9" s="23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08"/>
      <c r="B10" s="211"/>
      <c r="C10" s="254" t="s">
        <v>171</v>
      </c>
      <c r="D10" s="253"/>
      <c r="E10" s="253"/>
      <c r="F10" s="253"/>
      <c r="G10" s="253"/>
      <c r="H10" s="22"/>
      <c r="I10" s="23"/>
      <c r="J10" s="23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08"/>
      <c r="B11" s="211"/>
      <c r="C11" s="108"/>
      <c r="D11" s="252" t="s">
        <v>170</v>
      </c>
      <c r="E11" s="253"/>
      <c r="F11" s="253"/>
      <c r="G11" s="253"/>
      <c r="H11" s="82" t="s">
        <v>104</v>
      </c>
      <c r="I11" s="30"/>
      <c r="J11" s="30"/>
      <c r="K11" s="68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1"/>
    </row>
    <row r="12" spans="1:32" s="17" customFormat="1" ht="15" customHeight="1" thickBot="1">
      <c r="A12" s="209"/>
      <c r="B12" s="211"/>
      <c r="C12" s="255" t="s">
        <v>172</v>
      </c>
      <c r="D12" s="256"/>
      <c r="E12" s="256"/>
      <c r="F12" s="256"/>
      <c r="G12" s="256"/>
      <c r="H12" s="82" t="s">
        <v>104</v>
      </c>
      <c r="I12" s="33"/>
      <c r="J12" s="33"/>
      <c r="K12" s="70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4"/>
    </row>
    <row r="13" spans="1:32" s="17" customFormat="1" ht="24" customHeight="1">
      <c r="A13" s="193" t="s">
        <v>55</v>
      </c>
      <c r="B13" s="195"/>
      <c r="C13" s="196"/>
      <c r="D13" s="196"/>
      <c r="E13" s="196"/>
      <c r="F13" s="197"/>
      <c r="G13" s="35" t="s">
        <v>44</v>
      </c>
      <c r="H13" s="36" t="s">
        <v>136</v>
      </c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8"/>
    </row>
    <row r="14" spans="1:32" s="17" customFormat="1" ht="27" customHeight="1">
      <c r="A14" s="194"/>
      <c r="B14" s="198"/>
      <c r="C14" s="199"/>
      <c r="D14" s="199"/>
      <c r="E14" s="199"/>
      <c r="F14" s="200"/>
      <c r="G14" s="39" t="s">
        <v>45</v>
      </c>
      <c r="H14" s="40" t="s">
        <v>138</v>
      </c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2"/>
    </row>
    <row r="15" spans="1:32" s="17" customFormat="1" ht="27" customHeight="1">
      <c r="A15" s="194"/>
      <c r="B15" s="198"/>
      <c r="C15" s="199"/>
      <c r="D15" s="199"/>
      <c r="E15" s="199"/>
      <c r="F15" s="200"/>
      <c r="G15" s="39" t="s">
        <v>46</v>
      </c>
      <c r="H15" s="43">
        <v>43712</v>
      </c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5"/>
    </row>
    <row r="16" spans="1:32" s="17" customFormat="1" ht="24.75" customHeight="1">
      <c r="A16" s="194"/>
      <c r="B16" s="198" t="s">
        <v>105</v>
      </c>
      <c r="C16" s="199"/>
      <c r="D16" s="199"/>
      <c r="E16" s="199"/>
      <c r="F16" s="200"/>
      <c r="G16" s="46" t="s">
        <v>1</v>
      </c>
      <c r="H16" s="40" t="s">
        <v>139</v>
      </c>
      <c r="I16" s="41"/>
      <c r="J16" s="41"/>
      <c r="K16" s="41"/>
      <c r="L16" s="41"/>
      <c r="M16" s="41"/>
      <c r="N16" s="69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2"/>
    </row>
    <row r="17" spans="1:32" s="17" customFormat="1" ht="24.75" customHeight="1">
      <c r="A17" s="171" t="s">
        <v>56</v>
      </c>
      <c r="B17" s="173" t="s">
        <v>48</v>
      </c>
      <c r="C17" s="173"/>
      <c r="D17" s="173"/>
      <c r="E17" s="173"/>
      <c r="F17" s="174" t="str">
        <f>GetBugSheetName()</f>
        <v>Page_Load_</v>
      </c>
      <c r="G17" s="175"/>
      <c r="H17" s="60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4"/>
    </row>
    <row r="18" spans="1:32" s="17" customFormat="1" ht="36" customHeight="1" thickBot="1">
      <c r="A18" s="172"/>
      <c r="B18" s="176" t="s">
        <v>31</v>
      </c>
      <c r="C18" s="177"/>
      <c r="D18" s="177"/>
      <c r="E18" s="178"/>
      <c r="F18" s="176"/>
      <c r="G18" s="179"/>
      <c r="H18" s="6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 t="str">
        <f t="shared" ref="S18:AF18" si="1">IF(S17="","",(SUM(LEN(S17)-LEN(SUBSTITUTE(S17,",","")))/LEN(",")) + 1 )</f>
        <v/>
      </c>
      <c r="T18" s="55" t="str">
        <f t="shared" si="1"/>
        <v/>
      </c>
      <c r="U18" s="55" t="str">
        <f t="shared" si="1"/>
        <v/>
      </c>
      <c r="V18" s="55" t="str">
        <f t="shared" si="1"/>
        <v/>
      </c>
      <c r="W18" s="55" t="str">
        <f t="shared" si="1"/>
        <v/>
      </c>
      <c r="X18" s="55" t="str">
        <f t="shared" si="1"/>
        <v/>
      </c>
      <c r="Y18" s="55" t="str">
        <f t="shared" si="1"/>
        <v/>
      </c>
      <c r="Z18" s="55" t="str">
        <f t="shared" si="1"/>
        <v/>
      </c>
      <c r="AA18" s="55" t="str">
        <f t="shared" si="1"/>
        <v/>
      </c>
      <c r="AB18" s="55" t="str">
        <f t="shared" si="1"/>
        <v/>
      </c>
      <c r="AC18" s="55" t="str">
        <f t="shared" si="1"/>
        <v/>
      </c>
      <c r="AD18" s="55" t="str">
        <f t="shared" si="1"/>
        <v/>
      </c>
      <c r="AE18" s="55" t="str">
        <f t="shared" si="1"/>
        <v/>
      </c>
      <c r="AF18" s="56" t="str">
        <f t="shared" si="1"/>
        <v/>
      </c>
    </row>
    <row r="19" spans="1:32" s="17" customFormat="1">
      <c r="H19" s="47"/>
      <c r="I19" s="47"/>
      <c r="J19" s="47"/>
      <c r="K19" s="47"/>
      <c r="L19" s="47"/>
      <c r="M19" s="47"/>
      <c r="N19" s="48"/>
      <c r="O19" s="49"/>
      <c r="P19" s="47"/>
      <c r="Q19" s="47"/>
      <c r="R19" s="47"/>
      <c r="S19" s="47"/>
      <c r="T19" s="47"/>
      <c r="U19" s="47"/>
      <c r="V19" s="47"/>
    </row>
  </sheetData>
  <sheetProtection insertRows="0"/>
  <protectedRanges>
    <protectedRange sqref="B4:G4 B7:G12" name="Range2_1"/>
    <protectedRange sqref="B1:O2 P2 T1 AC1:AF2" name="Range1_1"/>
    <protectedRange sqref="H13:AF17" name="Range3_1_1"/>
    <protectedRange sqref="H4:AF5 H7:AF8 I6:AF6 H10:AF10 I9:AF9 I12:AF12 I11:AF11" name="Range2_1_1"/>
    <protectedRange sqref="B5:G6" name="Range2_1_2"/>
    <protectedRange sqref="H6" name="Range2_1_2_29_32"/>
    <protectedRange sqref="H9" name="Range2_1_2_29_32_4"/>
    <protectedRange sqref="H11" name="Range2_1_2_29_32_5"/>
    <protectedRange sqref="H12" name="Range2_1_2_29_32_6"/>
  </protectedRanges>
  <mergeCells count="34">
    <mergeCell ref="AA2:AB2"/>
    <mergeCell ref="AC2:AF2"/>
    <mergeCell ref="B1:E1"/>
    <mergeCell ref="F1:O1"/>
    <mergeCell ref="P1:S1"/>
    <mergeCell ref="T1:Z1"/>
    <mergeCell ref="AA1:AB1"/>
    <mergeCell ref="AC1:AF1"/>
    <mergeCell ref="B4:G4"/>
    <mergeCell ref="B5:G5"/>
    <mergeCell ref="B2:E2"/>
    <mergeCell ref="F2:H2"/>
    <mergeCell ref="I2:O2"/>
    <mergeCell ref="P2:Z2"/>
    <mergeCell ref="A17:A18"/>
    <mergeCell ref="B17:E17"/>
    <mergeCell ref="F17:G17"/>
    <mergeCell ref="B18:E18"/>
    <mergeCell ref="F18:G18"/>
    <mergeCell ref="C10:G10"/>
    <mergeCell ref="C12:G12"/>
    <mergeCell ref="A7:A12"/>
    <mergeCell ref="B7:G7"/>
    <mergeCell ref="C8:G8"/>
    <mergeCell ref="C6:G6"/>
    <mergeCell ref="D9:G9"/>
    <mergeCell ref="D11:G11"/>
    <mergeCell ref="A13:A16"/>
    <mergeCell ref="B13:F13"/>
    <mergeCell ref="B14:F14"/>
    <mergeCell ref="B15:F15"/>
    <mergeCell ref="B16:F16"/>
    <mergeCell ref="B9:B12"/>
    <mergeCell ref="A4:A6"/>
  </mergeCells>
  <phoneticPr fontId="4"/>
  <conditionalFormatting sqref="H3:AF18">
    <cfRule type="expression" dxfId="145" priority="195" stopIfTrue="1">
      <formula>H$16="NA"</formula>
    </cfRule>
    <cfRule type="expression" dxfId="144" priority="196" stopIfTrue="1">
      <formula>H$16="NG"</formula>
    </cfRule>
  </conditionalFormatting>
  <conditionalFormatting sqref="H6">
    <cfRule type="expression" dxfId="143" priority="143" stopIfTrue="1">
      <formula>#REF!="NA"</formula>
    </cfRule>
    <cfRule type="expression" dxfId="142" priority="144" stopIfTrue="1">
      <formula>#REF!="NG"</formula>
    </cfRule>
  </conditionalFormatting>
  <conditionalFormatting sqref="H6">
    <cfRule type="expression" dxfId="141" priority="141" stopIfTrue="1">
      <formula>#REF!="NA"</formula>
    </cfRule>
    <cfRule type="expression" dxfId="140" priority="142" stopIfTrue="1">
      <formula>#REF!="NG"</formula>
    </cfRule>
  </conditionalFormatting>
  <conditionalFormatting sqref="H6">
    <cfRule type="expression" dxfId="139" priority="139" stopIfTrue="1">
      <formula>J$36="NA"</formula>
    </cfRule>
    <cfRule type="expression" dxfId="138" priority="140" stopIfTrue="1">
      <formula>J$36="NG"</formula>
    </cfRule>
  </conditionalFormatting>
  <conditionalFormatting sqref="H6">
    <cfRule type="expression" dxfId="137" priority="136" stopIfTrue="1">
      <formula>#REF!="NG"</formula>
    </cfRule>
    <cfRule type="expression" dxfId="136" priority="137" stopIfTrue="1">
      <formula>J$33="NA"</formula>
    </cfRule>
    <cfRule type="expression" dxfId="135" priority="138" stopIfTrue="1">
      <formula>J$33="NG"</formula>
    </cfRule>
  </conditionalFormatting>
  <conditionalFormatting sqref="H6">
    <cfRule type="expression" dxfId="134" priority="134" stopIfTrue="1">
      <formula>J$37="NA"</formula>
    </cfRule>
    <cfRule type="expression" dxfId="133" priority="135" stopIfTrue="1">
      <formula>J$37="NG"</formula>
    </cfRule>
  </conditionalFormatting>
  <conditionalFormatting sqref="H6">
    <cfRule type="expression" dxfId="132" priority="132" stopIfTrue="1">
      <formula>J$37="NA"</formula>
    </cfRule>
    <cfRule type="expression" dxfId="131" priority="133" stopIfTrue="1">
      <formula>J$37="NG"</formula>
    </cfRule>
  </conditionalFormatting>
  <conditionalFormatting sqref="H6">
    <cfRule type="expression" dxfId="130" priority="130" stopIfTrue="1">
      <formula>J$36="NA"</formula>
    </cfRule>
    <cfRule type="expression" dxfId="129" priority="131" stopIfTrue="1">
      <formula>J$36="NG"</formula>
    </cfRule>
  </conditionalFormatting>
  <conditionalFormatting sqref="H6">
    <cfRule type="expression" dxfId="128" priority="127" stopIfTrue="1">
      <formula>#REF!="NG"</formula>
    </cfRule>
    <cfRule type="expression" dxfId="127" priority="128" stopIfTrue="1">
      <formula>J$33="NA"</formula>
    </cfRule>
    <cfRule type="expression" dxfId="126" priority="129" stopIfTrue="1">
      <formula>J$33="NG"</formula>
    </cfRule>
  </conditionalFormatting>
  <conditionalFormatting sqref="H6">
    <cfRule type="expression" dxfId="125" priority="125" stopIfTrue="1">
      <formula>J$37="NA"</formula>
    </cfRule>
    <cfRule type="expression" dxfId="124" priority="126" stopIfTrue="1">
      <formula>J$37="NG"</formula>
    </cfRule>
  </conditionalFormatting>
  <conditionalFormatting sqref="H6">
    <cfRule type="expression" dxfId="123" priority="123" stopIfTrue="1">
      <formula>J$37="NA"</formula>
    </cfRule>
    <cfRule type="expression" dxfId="122" priority="124" stopIfTrue="1">
      <formula>J$37="NG"</formula>
    </cfRule>
  </conditionalFormatting>
  <conditionalFormatting sqref="H6">
    <cfRule type="expression" dxfId="121" priority="121" stopIfTrue="1">
      <formula>J$36="NA"</formula>
    </cfRule>
    <cfRule type="expression" dxfId="120" priority="122" stopIfTrue="1">
      <formula>J$36="NG"</formula>
    </cfRule>
  </conditionalFormatting>
  <conditionalFormatting sqref="H6">
    <cfRule type="expression" dxfId="119" priority="118" stopIfTrue="1">
      <formula>#REF!="NG"</formula>
    </cfRule>
    <cfRule type="expression" dxfId="118" priority="119" stopIfTrue="1">
      <formula>J$33="NA"</formula>
    </cfRule>
    <cfRule type="expression" dxfId="117" priority="120" stopIfTrue="1">
      <formula>J$33="NG"</formula>
    </cfRule>
  </conditionalFormatting>
  <conditionalFormatting sqref="H6">
    <cfRule type="expression" dxfId="116" priority="116" stopIfTrue="1">
      <formula>J$37="NA"</formula>
    </cfRule>
    <cfRule type="expression" dxfId="115" priority="117" stopIfTrue="1">
      <formula>J$37="NG"</formula>
    </cfRule>
  </conditionalFormatting>
  <conditionalFormatting sqref="H6">
    <cfRule type="expression" dxfId="114" priority="114" stopIfTrue="1">
      <formula>J$37="NA"</formula>
    </cfRule>
    <cfRule type="expression" dxfId="113" priority="115" stopIfTrue="1">
      <formula>J$37="NG"</formula>
    </cfRule>
  </conditionalFormatting>
  <conditionalFormatting sqref="H6">
    <cfRule type="expression" dxfId="112" priority="111" stopIfTrue="1">
      <formula>#REF!="NG"</formula>
    </cfRule>
    <cfRule type="expression" dxfId="111" priority="112" stopIfTrue="1">
      <formula>#REF!="NA"</formula>
    </cfRule>
    <cfRule type="expression" dxfId="110" priority="113" stopIfTrue="1">
      <formula>#REF!="NG"</formula>
    </cfRule>
  </conditionalFormatting>
  <conditionalFormatting sqref="H6">
    <cfRule type="expression" dxfId="109" priority="109" stopIfTrue="1">
      <formula>J$25="NA"</formula>
    </cfRule>
    <cfRule type="expression" dxfId="108" priority="110" stopIfTrue="1">
      <formula>J$25="NG"</formula>
    </cfRule>
  </conditionalFormatting>
  <conditionalFormatting sqref="H9">
    <cfRule type="expression" dxfId="107" priority="107" stopIfTrue="1">
      <formula>#REF!="NA"</formula>
    </cfRule>
    <cfRule type="expression" dxfId="106" priority="108" stopIfTrue="1">
      <formula>#REF!="NG"</formula>
    </cfRule>
  </conditionalFormatting>
  <conditionalFormatting sqref="H9">
    <cfRule type="expression" dxfId="105" priority="105" stopIfTrue="1">
      <formula>#REF!="NA"</formula>
    </cfRule>
    <cfRule type="expression" dxfId="104" priority="106" stopIfTrue="1">
      <formula>#REF!="NG"</formula>
    </cfRule>
  </conditionalFormatting>
  <conditionalFormatting sqref="H9">
    <cfRule type="expression" dxfId="103" priority="103" stopIfTrue="1">
      <formula>J$36="NA"</formula>
    </cfRule>
    <cfRule type="expression" dxfId="102" priority="104" stopIfTrue="1">
      <formula>J$36="NG"</formula>
    </cfRule>
  </conditionalFormatting>
  <conditionalFormatting sqref="H9">
    <cfRule type="expression" dxfId="101" priority="100" stopIfTrue="1">
      <formula>#REF!="NG"</formula>
    </cfRule>
    <cfRule type="expression" dxfId="100" priority="101" stopIfTrue="1">
      <formula>J$33="NA"</formula>
    </cfRule>
    <cfRule type="expression" dxfId="99" priority="102" stopIfTrue="1">
      <formula>J$33="NG"</formula>
    </cfRule>
  </conditionalFormatting>
  <conditionalFormatting sqref="H9">
    <cfRule type="expression" dxfId="98" priority="98" stopIfTrue="1">
      <formula>J$37="NA"</formula>
    </cfRule>
    <cfRule type="expression" dxfId="97" priority="99" stopIfTrue="1">
      <formula>J$37="NG"</formula>
    </cfRule>
  </conditionalFormatting>
  <conditionalFormatting sqref="H9">
    <cfRule type="expression" dxfId="96" priority="96" stopIfTrue="1">
      <formula>J$37="NA"</formula>
    </cfRule>
    <cfRule type="expression" dxfId="95" priority="97" stopIfTrue="1">
      <formula>J$37="NG"</formula>
    </cfRule>
  </conditionalFormatting>
  <conditionalFormatting sqref="H9">
    <cfRule type="expression" dxfId="94" priority="94" stopIfTrue="1">
      <formula>J$36="NA"</formula>
    </cfRule>
    <cfRule type="expression" dxfId="93" priority="95" stopIfTrue="1">
      <formula>J$36="NG"</formula>
    </cfRule>
  </conditionalFormatting>
  <conditionalFormatting sqref="H9">
    <cfRule type="expression" dxfId="92" priority="91" stopIfTrue="1">
      <formula>#REF!="NG"</formula>
    </cfRule>
    <cfRule type="expression" dxfId="91" priority="92" stopIfTrue="1">
      <formula>J$33="NA"</formula>
    </cfRule>
    <cfRule type="expression" dxfId="90" priority="93" stopIfTrue="1">
      <formula>J$33="NG"</formula>
    </cfRule>
  </conditionalFormatting>
  <conditionalFormatting sqref="H9">
    <cfRule type="expression" dxfId="89" priority="89" stopIfTrue="1">
      <formula>J$37="NA"</formula>
    </cfRule>
    <cfRule type="expression" dxfId="88" priority="90" stopIfTrue="1">
      <formula>J$37="NG"</formula>
    </cfRule>
  </conditionalFormatting>
  <conditionalFormatting sqref="H9">
    <cfRule type="expression" dxfId="87" priority="87" stopIfTrue="1">
      <formula>J$37="NA"</formula>
    </cfRule>
    <cfRule type="expression" dxfId="86" priority="88" stopIfTrue="1">
      <formula>J$37="NG"</formula>
    </cfRule>
  </conditionalFormatting>
  <conditionalFormatting sqref="H9">
    <cfRule type="expression" dxfId="85" priority="85" stopIfTrue="1">
      <formula>J$36="NA"</formula>
    </cfRule>
    <cfRule type="expression" dxfId="84" priority="86" stopIfTrue="1">
      <formula>J$36="NG"</formula>
    </cfRule>
  </conditionalFormatting>
  <conditionalFormatting sqref="H9">
    <cfRule type="expression" dxfId="83" priority="82" stopIfTrue="1">
      <formula>#REF!="NG"</formula>
    </cfRule>
    <cfRule type="expression" dxfId="82" priority="83" stopIfTrue="1">
      <formula>J$33="NA"</formula>
    </cfRule>
    <cfRule type="expression" dxfId="81" priority="84" stopIfTrue="1">
      <formula>J$33="NG"</formula>
    </cfRule>
  </conditionalFormatting>
  <conditionalFormatting sqref="H9">
    <cfRule type="expression" dxfId="80" priority="80" stopIfTrue="1">
      <formula>J$37="NA"</formula>
    </cfRule>
    <cfRule type="expression" dxfId="79" priority="81" stopIfTrue="1">
      <formula>J$37="NG"</formula>
    </cfRule>
  </conditionalFormatting>
  <conditionalFormatting sqref="H9">
    <cfRule type="expression" dxfId="78" priority="78" stopIfTrue="1">
      <formula>J$37="NA"</formula>
    </cfRule>
    <cfRule type="expression" dxfId="77" priority="79" stopIfTrue="1">
      <formula>J$37="NG"</formula>
    </cfRule>
  </conditionalFormatting>
  <conditionalFormatting sqref="H9">
    <cfRule type="expression" dxfId="76" priority="75" stopIfTrue="1">
      <formula>#REF!="NG"</formula>
    </cfRule>
    <cfRule type="expression" dxfId="75" priority="76" stopIfTrue="1">
      <formula>#REF!="NA"</formula>
    </cfRule>
    <cfRule type="expression" dxfId="74" priority="77" stopIfTrue="1">
      <formula>#REF!="NG"</formula>
    </cfRule>
  </conditionalFormatting>
  <conditionalFormatting sqref="H9">
    <cfRule type="expression" dxfId="73" priority="73" stopIfTrue="1">
      <formula>J$25="NA"</formula>
    </cfRule>
    <cfRule type="expression" dxfId="72" priority="74" stopIfTrue="1">
      <formula>J$25="NG"</formula>
    </cfRule>
  </conditionalFormatting>
  <conditionalFormatting sqref="H9 H11">
    <cfRule type="expression" dxfId="71" priority="71" stopIfTrue="1">
      <formula>#REF!="NA"</formula>
    </cfRule>
    <cfRule type="expression" dxfId="70" priority="72" stopIfTrue="1">
      <formula>#REF!="NG"</formula>
    </cfRule>
  </conditionalFormatting>
  <conditionalFormatting sqref="H9 H11">
    <cfRule type="expression" dxfId="69" priority="69" stopIfTrue="1">
      <formula>#REF!="NA"</formula>
    </cfRule>
    <cfRule type="expression" dxfId="68" priority="70" stopIfTrue="1">
      <formula>#REF!="NG"</formula>
    </cfRule>
  </conditionalFormatting>
  <conditionalFormatting sqref="H9 H11">
    <cfRule type="expression" dxfId="67" priority="67" stopIfTrue="1">
      <formula>J$36="NA"</formula>
    </cfRule>
    <cfRule type="expression" dxfId="66" priority="68" stopIfTrue="1">
      <formula>J$36="NG"</formula>
    </cfRule>
  </conditionalFormatting>
  <conditionalFormatting sqref="H9 H11">
    <cfRule type="expression" dxfId="65" priority="64" stopIfTrue="1">
      <formula>#REF!="NG"</formula>
    </cfRule>
    <cfRule type="expression" dxfId="64" priority="65" stopIfTrue="1">
      <formula>J$33="NA"</formula>
    </cfRule>
    <cfRule type="expression" dxfId="63" priority="66" stopIfTrue="1">
      <formula>J$33="NG"</formula>
    </cfRule>
  </conditionalFormatting>
  <conditionalFormatting sqref="H9 H11">
    <cfRule type="expression" dxfId="62" priority="62" stopIfTrue="1">
      <formula>J$37="NA"</formula>
    </cfRule>
    <cfRule type="expression" dxfId="61" priority="63" stopIfTrue="1">
      <formula>J$37="NG"</formula>
    </cfRule>
  </conditionalFormatting>
  <conditionalFormatting sqref="H9 H11">
    <cfRule type="expression" dxfId="60" priority="60" stopIfTrue="1">
      <formula>J$37="NA"</formula>
    </cfRule>
    <cfRule type="expression" dxfId="59" priority="61" stopIfTrue="1">
      <formula>J$37="NG"</formula>
    </cfRule>
  </conditionalFormatting>
  <conditionalFormatting sqref="H9 H11">
    <cfRule type="expression" dxfId="58" priority="58" stopIfTrue="1">
      <formula>J$36="NA"</formula>
    </cfRule>
    <cfRule type="expression" dxfId="57" priority="59" stopIfTrue="1">
      <formula>J$36="NG"</formula>
    </cfRule>
  </conditionalFormatting>
  <conditionalFormatting sqref="H9 H11">
    <cfRule type="expression" dxfId="56" priority="55" stopIfTrue="1">
      <formula>#REF!="NG"</formula>
    </cfRule>
    <cfRule type="expression" dxfId="55" priority="56" stopIfTrue="1">
      <formula>J$33="NA"</formula>
    </cfRule>
    <cfRule type="expression" dxfId="54" priority="57" stopIfTrue="1">
      <formula>J$33="NG"</formula>
    </cfRule>
  </conditionalFormatting>
  <conditionalFormatting sqref="H9 H11">
    <cfRule type="expression" dxfId="53" priority="53" stopIfTrue="1">
      <formula>J$37="NA"</formula>
    </cfRule>
    <cfRule type="expression" dxfId="52" priority="54" stopIfTrue="1">
      <formula>J$37="NG"</formula>
    </cfRule>
  </conditionalFormatting>
  <conditionalFormatting sqref="H9 H11">
    <cfRule type="expression" dxfId="51" priority="51" stopIfTrue="1">
      <formula>J$37="NA"</formula>
    </cfRule>
    <cfRule type="expression" dxfId="50" priority="52" stopIfTrue="1">
      <formula>J$37="NG"</formula>
    </cfRule>
  </conditionalFormatting>
  <conditionalFormatting sqref="H9 H11">
    <cfRule type="expression" dxfId="49" priority="49" stopIfTrue="1">
      <formula>J$36="NA"</formula>
    </cfRule>
    <cfRule type="expression" dxfId="48" priority="50" stopIfTrue="1">
      <formula>J$36="NG"</formula>
    </cfRule>
  </conditionalFormatting>
  <conditionalFormatting sqref="H9 H11">
    <cfRule type="expression" dxfId="47" priority="46" stopIfTrue="1">
      <formula>#REF!="NG"</formula>
    </cfRule>
    <cfRule type="expression" dxfId="46" priority="47" stopIfTrue="1">
      <formula>J$33="NA"</formula>
    </cfRule>
    <cfRule type="expression" dxfId="45" priority="48" stopIfTrue="1">
      <formula>J$33="NG"</formula>
    </cfRule>
  </conditionalFormatting>
  <conditionalFormatting sqref="H9 H11">
    <cfRule type="expression" dxfId="44" priority="44" stopIfTrue="1">
      <formula>J$37="NA"</formula>
    </cfRule>
    <cfRule type="expression" dxfId="43" priority="45" stopIfTrue="1">
      <formula>J$37="NG"</formula>
    </cfRule>
  </conditionalFormatting>
  <conditionalFormatting sqref="H9 H11">
    <cfRule type="expression" dxfId="42" priority="42" stopIfTrue="1">
      <formula>J$37="NA"</formula>
    </cfRule>
    <cfRule type="expression" dxfId="41" priority="43" stopIfTrue="1">
      <formula>J$37="NG"</formula>
    </cfRule>
  </conditionalFormatting>
  <conditionalFormatting sqref="H9 H11">
    <cfRule type="expression" dxfId="40" priority="39" stopIfTrue="1">
      <formula>#REF!="NG"</formula>
    </cfRule>
    <cfRule type="expression" dxfId="39" priority="40" stopIfTrue="1">
      <formula>#REF!="NA"</formula>
    </cfRule>
    <cfRule type="expression" dxfId="38" priority="41" stopIfTrue="1">
      <formula>#REF!="NG"</formula>
    </cfRule>
  </conditionalFormatting>
  <conditionalFormatting sqref="H9 H11">
    <cfRule type="expression" dxfId="37" priority="37" stopIfTrue="1">
      <formula>J$25="NA"</formula>
    </cfRule>
    <cfRule type="expression" dxfId="36" priority="38" stopIfTrue="1">
      <formula>J$25="NG"</formula>
    </cfRule>
  </conditionalFormatting>
  <conditionalFormatting sqref="H9 H11:H12">
    <cfRule type="expression" dxfId="35" priority="35" stopIfTrue="1">
      <formula>#REF!="NA"</formula>
    </cfRule>
    <cfRule type="expression" dxfId="34" priority="36" stopIfTrue="1">
      <formula>#REF!="NG"</formula>
    </cfRule>
  </conditionalFormatting>
  <conditionalFormatting sqref="H9 H11:H12">
    <cfRule type="expression" dxfId="33" priority="33" stopIfTrue="1">
      <formula>#REF!="NA"</formula>
    </cfRule>
    <cfRule type="expression" dxfId="32" priority="34" stopIfTrue="1">
      <formula>#REF!="NG"</formula>
    </cfRule>
  </conditionalFormatting>
  <conditionalFormatting sqref="H9 H11:H12">
    <cfRule type="expression" dxfId="31" priority="31" stopIfTrue="1">
      <formula>J$36="NA"</formula>
    </cfRule>
    <cfRule type="expression" dxfId="30" priority="32" stopIfTrue="1">
      <formula>J$36="NG"</formula>
    </cfRule>
  </conditionalFormatting>
  <conditionalFormatting sqref="H9 H11:H12">
    <cfRule type="expression" dxfId="29" priority="28" stopIfTrue="1">
      <formula>#REF!="NG"</formula>
    </cfRule>
    <cfRule type="expression" dxfId="28" priority="29" stopIfTrue="1">
      <formula>J$33="NA"</formula>
    </cfRule>
    <cfRule type="expression" dxfId="27" priority="30" stopIfTrue="1">
      <formula>J$33="NG"</formula>
    </cfRule>
  </conditionalFormatting>
  <conditionalFormatting sqref="H9 H11:H12">
    <cfRule type="expression" dxfId="26" priority="26" stopIfTrue="1">
      <formula>J$37="NA"</formula>
    </cfRule>
    <cfRule type="expression" dxfId="25" priority="27" stopIfTrue="1">
      <formula>J$37="NG"</formula>
    </cfRule>
  </conditionalFormatting>
  <conditionalFormatting sqref="H9 H11:H12">
    <cfRule type="expression" dxfId="24" priority="24" stopIfTrue="1">
      <formula>J$37="NA"</formula>
    </cfRule>
    <cfRule type="expression" dxfId="23" priority="25" stopIfTrue="1">
      <formula>J$37="NG"</formula>
    </cfRule>
  </conditionalFormatting>
  <conditionalFormatting sqref="H9 H11:H12">
    <cfRule type="expression" dxfId="22" priority="22" stopIfTrue="1">
      <formula>J$36="NA"</formula>
    </cfRule>
    <cfRule type="expression" dxfId="21" priority="23" stopIfTrue="1">
      <formula>J$36="NG"</formula>
    </cfRule>
  </conditionalFormatting>
  <conditionalFormatting sqref="H9 H11:H12">
    <cfRule type="expression" dxfId="20" priority="19" stopIfTrue="1">
      <formula>#REF!="NG"</formula>
    </cfRule>
    <cfRule type="expression" dxfId="19" priority="20" stopIfTrue="1">
      <formula>J$33="NA"</formula>
    </cfRule>
    <cfRule type="expression" dxfId="18" priority="21" stopIfTrue="1">
      <formula>J$33="NG"</formula>
    </cfRule>
  </conditionalFormatting>
  <conditionalFormatting sqref="H9 H11:H12">
    <cfRule type="expression" dxfId="17" priority="17" stopIfTrue="1">
      <formula>J$37="NA"</formula>
    </cfRule>
    <cfRule type="expression" dxfId="16" priority="18" stopIfTrue="1">
      <formula>J$37="NG"</formula>
    </cfRule>
  </conditionalFormatting>
  <conditionalFormatting sqref="H9 H11:H12">
    <cfRule type="expression" dxfId="15" priority="15" stopIfTrue="1">
      <formula>J$37="NA"</formula>
    </cfRule>
    <cfRule type="expression" dxfId="14" priority="16" stopIfTrue="1">
      <formula>J$37="NG"</formula>
    </cfRule>
  </conditionalFormatting>
  <conditionalFormatting sqref="H9 H11:H12">
    <cfRule type="expression" dxfId="13" priority="13" stopIfTrue="1">
      <formula>J$36="NA"</formula>
    </cfRule>
    <cfRule type="expression" dxfId="12" priority="14" stopIfTrue="1">
      <formula>J$36="NG"</formula>
    </cfRule>
  </conditionalFormatting>
  <conditionalFormatting sqref="H9 H11:H12">
    <cfRule type="expression" dxfId="11" priority="10" stopIfTrue="1">
      <formula>#REF!="NG"</formula>
    </cfRule>
    <cfRule type="expression" dxfId="10" priority="11" stopIfTrue="1">
      <formula>J$33="NA"</formula>
    </cfRule>
    <cfRule type="expression" dxfId="9" priority="12" stopIfTrue="1">
      <formula>J$33="NG"</formula>
    </cfRule>
  </conditionalFormatting>
  <conditionalFormatting sqref="H9 H11:H12">
    <cfRule type="expression" dxfId="8" priority="8" stopIfTrue="1">
      <formula>J$37="NA"</formula>
    </cfRule>
    <cfRule type="expression" dxfId="7" priority="9" stopIfTrue="1">
      <formula>J$37="NG"</formula>
    </cfRule>
  </conditionalFormatting>
  <conditionalFormatting sqref="H9 H11:H12">
    <cfRule type="expression" dxfId="6" priority="6" stopIfTrue="1">
      <formula>J$37="NA"</formula>
    </cfRule>
    <cfRule type="expression" dxfId="5" priority="7" stopIfTrue="1">
      <formula>J$37="NG"</formula>
    </cfRule>
  </conditionalFormatting>
  <conditionalFormatting sqref="H9 H11:H12">
    <cfRule type="expression" dxfId="4" priority="3" stopIfTrue="1">
      <formula>#REF!="NG"</formula>
    </cfRule>
    <cfRule type="expression" dxfId="3" priority="4" stopIfTrue="1">
      <formula>#REF!="NA"</formula>
    </cfRule>
    <cfRule type="expression" dxfId="2" priority="5" stopIfTrue="1">
      <formula>#REF!="NG"</formula>
    </cfRule>
  </conditionalFormatting>
  <conditionalFormatting sqref="H9 H11:H12">
    <cfRule type="expression" dxfId="1" priority="1" stopIfTrue="1">
      <formula>J$25="NA"</formula>
    </cfRule>
    <cfRule type="expression" dxfId="0" priority="2" stopIfTrue="1">
      <formula>J$25="NG"</formula>
    </cfRule>
  </conditionalFormatting>
  <dataValidations count="10">
    <dataValidation allowBlank="1" showInputMessage="1" showErrorMessage="1" promptTitle="Condition Type" prompt="N : Normal _x000a_A : Abnormal _x000a_B : Boundary" sqref="G13"/>
    <dataValidation allowBlank="1" showInputMessage="1" showErrorMessage="1" promptTitle="Enter" prompt="Name of the person who performed the test" sqref="G14"/>
    <dataValidation allowBlank="1" showInputMessage="1" showErrorMessage="1" promptTitle="Testing Date" prompt="Date on which test was performed in yyyy/mm/dd format" sqref="G1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6"/>
    <dataValidation allowBlank="1" showInputMessage="1" showErrorMessage="1" promptTitle="Bug ID" prompt="Unique ID throughout the project._x000a_For every Bug found during Test as well as Re-Test, a new Bug ID needs to be entered here (as a comma seperated value)" sqref="B17:E17"/>
    <dataValidation allowBlank="1" showInputMessage="1" showErrorMessage="1" promptTitle="PCL sheet name" prompt=" " sqref="F17:G17"/>
    <dataValidation type="list" allowBlank="1" showInputMessage="1" showErrorMessage="1" sqref="H16:AF16">
      <formula1>"OK, NG, NA, PT"</formula1>
    </dataValidation>
    <dataValidation type="list" allowBlank="1" showInputMessage="1" showErrorMessage="1" sqref="H13:AF13">
      <formula1>"N, A, B"</formula1>
    </dataValidation>
    <dataValidation allowBlank="1" showInputMessage="1" showErrorMessage="1" promptTitle="Check points" prompt="that need / need not be executed" sqref="A7:A12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dimension ref="A3:A173"/>
  <sheetViews>
    <sheetView topLeftCell="A181" workbookViewId="0">
      <selection activeCell="B220" sqref="B220"/>
    </sheetView>
  </sheetViews>
  <sheetFormatPr defaultRowHeight="13.5"/>
  <sheetData>
    <row r="3" spans="1:1">
      <c r="A3" s="71" t="s">
        <v>64</v>
      </c>
    </row>
    <row r="41" spans="1:1">
      <c r="A41" s="71" t="s">
        <v>65</v>
      </c>
    </row>
    <row r="84" spans="1:1">
      <c r="A84" s="71" t="s">
        <v>66</v>
      </c>
    </row>
    <row r="173" spans="1:1">
      <c r="A173" s="71" t="s">
        <v>67</v>
      </c>
    </row>
  </sheetData>
  <phoneticPr fontId="4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Summary</vt:lpstr>
      <vt:lpstr>Template</vt:lpstr>
      <vt:lpstr>Page_Load</vt:lpstr>
      <vt:lpstr>Login_Click</vt:lpstr>
      <vt:lpstr>Logout_Click</vt:lpstr>
      <vt:lpstr>Clear_Click</vt:lpstr>
      <vt:lpstr>Evidence</vt:lpstr>
      <vt:lpstr>Clear_Click!BugCount</vt:lpstr>
      <vt:lpstr>Login_Click!BugCount</vt:lpstr>
      <vt:lpstr>Logout_Click!BugCount</vt:lpstr>
      <vt:lpstr>Page_Load!BugCount</vt:lpstr>
      <vt:lpstr>BugCount</vt:lpstr>
      <vt:lpstr>Clear_Click!BugSheetName</vt:lpstr>
      <vt:lpstr>Login_Click!BugSheetName</vt:lpstr>
      <vt:lpstr>Logout_Click!BugSheetName</vt:lpstr>
      <vt:lpstr>Page_Load!BugSheetName</vt:lpstr>
      <vt:lpstr>BugSheetName</vt:lpstr>
      <vt:lpstr>NewPCL</vt:lpstr>
      <vt:lpstr>NewPCL_Row</vt:lpstr>
      <vt:lpstr>Clear_Click!Print_Area</vt:lpstr>
      <vt:lpstr>Login_Click!Print_Area</vt:lpstr>
      <vt:lpstr>Logout_Click!Print_Area</vt:lpstr>
      <vt:lpstr>Page_Load!Print_Area</vt:lpstr>
      <vt:lpstr>Summary!Print_Area</vt:lpstr>
      <vt:lpstr>Template!Print_Area</vt:lpstr>
      <vt:lpstr>Clear_Click!Print_Titles</vt:lpstr>
      <vt:lpstr>Login_Click!Print_Titles</vt:lpstr>
      <vt:lpstr>Logout_Click!Print_Titles</vt:lpstr>
      <vt:lpstr>Page_Load!Print_Titles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Login_Click!TestResult</vt:lpstr>
      <vt:lpstr>Logout_Click!TestResult</vt:lpstr>
      <vt:lpstr>Page_Load!TestResult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2019-09-16T03:06:25Z</dcterms:modified>
</cp:coreProperties>
</file>