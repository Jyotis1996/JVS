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5"/>
  </bookViews>
  <sheets>
    <sheet name="Summary" sheetId="32" r:id="rId1"/>
    <sheet name="Template" sheetId="21" state="hidden" r:id="rId2"/>
    <sheet name="Page_load" sheetId="71" r:id="rId3"/>
    <sheet name="Login_Click" sheetId="72" r:id="rId4"/>
    <sheet name="Clear_Click" sheetId="73" r:id="rId5"/>
    <sheet name="Logout_Click" sheetId="75" r:id="rId6"/>
    <sheet name="Evidence" sheetId="74" r:id="rId7"/>
  </sheets>
  <functionGroups/>
  <definedNames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Clear_Click!$H$18:$AF$18</definedName>
    <definedName name="BugCount" localSheetId="3">Login_Click!$H$43:$AF$43</definedName>
    <definedName name="BugCount" localSheetId="5">Logout_Click!$H$19:$AF$19</definedName>
    <definedName name="BugCount" localSheetId="2">Page_load!$H$33:$AF$33</definedName>
    <definedName name="BugCount">Template!$H$29:$AF$29</definedName>
    <definedName name="BugSheetName" localSheetId="4">Clear_Click!$F$17</definedName>
    <definedName name="BugSheetName" localSheetId="3">Login_Click!$F$42</definedName>
    <definedName name="BugSheetName" localSheetId="5">Logout_Click!$F$18</definedName>
    <definedName name="BugSheetName" localSheetId="2">Page_load!$F$32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Summary!$14:$14</definedName>
    <definedName name="_xlnm.Print_Area" localSheetId="4">Clear_Click!$A$1:$AF$19</definedName>
    <definedName name="_xlnm.Print_Area" localSheetId="3">Login_Click!$A$1:$AF$68</definedName>
    <definedName name="_xlnm.Print_Area" localSheetId="5">Logout_Click!$A$1:$AF$20</definedName>
    <definedName name="_xlnm.Print_Area" localSheetId="2">Page_load!$A$1:$AF$34</definedName>
    <definedName name="_xlnm.Print_Area" localSheetId="0">Summary!$A$5:$AM$34</definedName>
    <definedName name="_xlnm.Print_Area" localSheetId="1">Template!$A$1:$AF$30</definedName>
    <definedName name="_xlnm.Print_Titles" localSheetId="4">Clear_Click!$1:$3</definedName>
    <definedName name="_xlnm.Print_Titles" localSheetId="3">Login_Click!$1:$3</definedName>
    <definedName name="_xlnm.Print_Titles" localSheetId="5">Logout_Click!$1:$3</definedName>
    <definedName name="_xlnm.Print_Titles" localSheetId="2">Page_load!$1:$3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Summary!$AI$15</definedName>
    <definedName name="SummaryTotal">Summary!$B$15:$AL$16</definedName>
    <definedName name="SummaryTRNA">Summary!$X$15</definedName>
    <definedName name="SummaryTRNG">Summary!$R$15</definedName>
    <definedName name="SummaryTROK">Summary!$O$15</definedName>
    <definedName name="SummaryTRPT">Summary!$U$15</definedName>
    <definedName name="SummaryTTC">Summary!$K$15</definedName>
    <definedName name="SummaryTTD">Summary!$AA$15</definedName>
    <definedName name="SummaryTTND">Summary!$AE$15</definedName>
    <definedName name="TestResult" localSheetId="4">Clear_Click!$G$16</definedName>
    <definedName name="TestResult" localSheetId="3">Login_Click!$G$41</definedName>
    <definedName name="TestResult" localSheetId="5">Logout_Click!$G$17</definedName>
    <definedName name="TestResult" localSheetId="2">Page_load!$G$31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19" i="75"/>
  <c r="AE19"/>
  <c r="AD19"/>
  <c r="AC19"/>
  <c r="AB19"/>
  <c r="AA19"/>
  <c r="Z19"/>
  <c r="Y19"/>
  <c r="X19"/>
  <c r="W19"/>
  <c r="V19"/>
  <c r="U19"/>
  <c r="T19"/>
  <c r="S19"/>
  <c r="R13" i="32"/>
  <c r="AI13"/>
  <c r="O13"/>
  <c r="U13"/>
  <c r="X13"/>
  <c r="F18" i="75"/>
  <c r="AA13" i="32" l="1"/>
  <c r="AF3" i="75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18" i="73"/>
  <c r="AE18"/>
  <c r="AD18"/>
  <c r="AC18"/>
  <c r="AB18"/>
  <c r="AA18"/>
  <c r="Z18"/>
  <c r="Y18"/>
  <c r="X18"/>
  <c r="W18"/>
  <c r="V18"/>
  <c r="U18"/>
  <c r="T18"/>
  <c r="S18"/>
  <c r="K13" i="32"/>
  <c r="F17" i="73"/>
  <c r="AI12" i="32"/>
  <c r="O12"/>
  <c r="X12"/>
  <c r="U12"/>
  <c r="R12"/>
  <c r="AE13" l="1"/>
  <c r="AA12"/>
  <c r="AF3" i="7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43" i="72"/>
  <c r="AE43"/>
  <c r="AD43"/>
  <c r="AC43"/>
  <c r="AB43"/>
  <c r="AA43"/>
  <c r="Z43"/>
  <c r="Y43"/>
  <c r="X43"/>
  <c r="W43"/>
  <c r="V43"/>
  <c r="U43"/>
  <c r="T43"/>
  <c r="S43"/>
  <c r="F42"/>
  <c r="X11" i="32"/>
  <c r="K12"/>
  <c r="O11"/>
  <c r="U11"/>
  <c r="R11"/>
  <c r="AI11"/>
  <c r="AE12" l="1"/>
  <c r="AA11"/>
  <c r="AF3" i="72"/>
  <c r="AE3"/>
  <c r="AD3"/>
  <c r="AC3"/>
  <c r="AB3"/>
  <c r="AA3"/>
  <c r="Z3"/>
  <c r="Y3"/>
  <c r="X3"/>
  <c r="W3"/>
  <c r="V3"/>
  <c r="U3"/>
  <c r="T3"/>
  <c r="S3"/>
  <c r="R3"/>
  <c r="Q3"/>
  <c r="P3"/>
  <c r="H3"/>
  <c r="I3" s="1"/>
  <c r="J3" s="1"/>
  <c r="K3" s="1"/>
  <c r="L3" s="1"/>
  <c r="M3" s="1"/>
  <c r="N3" s="1"/>
  <c r="O3" s="1"/>
  <c r="H3" i="71"/>
  <c r="I3" s="1"/>
  <c r="J3" s="1"/>
  <c r="K3" s="1"/>
  <c r="L3" s="1"/>
  <c r="M3" s="1"/>
  <c r="N3" s="1"/>
  <c r="O3"/>
  <c r="P3"/>
  <c r="Q3"/>
  <c r="R3"/>
  <c r="S3"/>
  <c r="T3"/>
  <c r="U3"/>
  <c r="V3"/>
  <c r="W3"/>
  <c r="X3"/>
  <c r="Y3"/>
  <c r="Z3"/>
  <c r="AA3"/>
  <c r="AB3"/>
  <c r="AC3"/>
  <c r="AD3"/>
  <c r="AE3"/>
  <c r="AF3"/>
  <c r="S33"/>
  <c r="T33"/>
  <c r="U33"/>
  <c r="V33"/>
  <c r="W33"/>
  <c r="X33"/>
  <c r="Y33"/>
  <c r="Z33"/>
  <c r="AA33"/>
  <c r="AB33"/>
  <c r="AC33"/>
  <c r="AD33"/>
  <c r="AE33"/>
  <c r="AF33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32" i="71"/>
  <c r="F28" i="21"/>
  <c r="X10" i="32"/>
  <c r="K10"/>
  <c r="K11"/>
  <c r="O10"/>
  <c r="U10"/>
  <c r="R10"/>
  <c r="AI10"/>
  <c r="AE11" l="1"/>
  <c r="AA3"/>
  <c r="AE3" s="1"/>
  <c r="K15"/>
  <c r="O15"/>
  <c r="AA10"/>
  <c r="AA15" s="1"/>
  <c r="R15"/>
  <c r="X15"/>
  <c r="U15"/>
  <c r="AI15"/>
  <c r="R16" l="1"/>
  <c r="AE10"/>
  <c r="AE15" s="1"/>
  <c r="AE16" s="1"/>
  <c r="X16"/>
  <c r="U16"/>
  <c r="O16"/>
  <c r="AA16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  <author/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1">
      <text>
        <r>
          <rPr>
            <sz val="8"/>
            <color indexed="8"/>
            <rFont val="Tahoma"/>
            <family val="2"/>
            <charset val="128"/>
          </rPr>
          <t>Function for which PCL
is to be created</t>
        </r>
      </text>
    </comment>
    <comment ref="B5" authorId="1">
      <text>
        <r>
          <rPr>
            <sz val="8"/>
            <color indexed="8"/>
            <rFont val="Tahoma"/>
            <family val="2"/>
            <charset val="128"/>
          </rPr>
          <t xml:space="preserve">Name of the function from which this function is called </t>
        </r>
        <r>
          <rPr>
            <b/>
            <sz val="8"/>
            <color indexed="8"/>
            <rFont val="Tahoma"/>
            <family val="2"/>
            <charset val="128"/>
          </rPr>
          <t xml:space="preserve">OR
</t>
        </r>
        <r>
          <rPr>
            <sz val="8"/>
            <color indexed="8"/>
            <rFont val="Tahoma"/>
            <family val="2"/>
            <charset val="128"/>
          </rPr>
          <t>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6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<sst xmlns="http://schemas.openxmlformats.org/spreadsheetml/2006/main" count="366" uniqueCount="151">
  <si>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</si>
  <si>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</si>
  <si>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</si>
  <si>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</si>
  <si>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</si>
  <si>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</si>
  <si>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</si>
  <si>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</si>
  <si>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</si>
  <si>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[ Project Code : Project Name ]</t>
    <phoneticPr fontId="8" type="noConversion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</si>
  <si>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</si>
  <si>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</si>
  <si>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</si>
  <si>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</si>
  <si>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</si>
  <si>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</si>
  <si>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</si>
  <si>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</si>
  <si>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</si>
  <si>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</si>
  <si>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</si>
  <si>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</si>
  <si>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</si>
  <si>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</si>
  <si>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</si>
  <si>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</si>
  <si>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</si>
  <si>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</si>
  <si>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</si>
  <si>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</si>
  <si>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</si>
  <si>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</si>
  <si>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</si>
  <si>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</si>
  <si>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</si>
  <si>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</si>
  <si>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</si>
  <si>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Project Code</t>
    <phoneticPr fontId="3"/>
  </si>
  <si>
    <t>Creators Name</t>
    <phoneticPr fontId="3"/>
  </si>
  <si>
    <t>Date</t>
    <phoneticPr fontId="3"/>
  </si>
  <si>
    <t>Module Code</t>
    <phoneticPr fontId="3"/>
  </si>
  <si>
    <t>Page</t>
    <phoneticPr fontId="3"/>
  </si>
  <si>
    <t>1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</si>
  <si>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</si>
  <si>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</si>
  <si>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</si>
  <si>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</si>
  <si>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</si>
  <si>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>Bug Count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</si>
  <si>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</si>
  <si>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</si>
  <si>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</si>
  <si>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</si>
  <si>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</si>
  <si>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</si>
  <si>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</si>
  <si>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</si>
  <si>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</si>
  <si>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</si>
  <si>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</si>
  <si>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</si>
  <si>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</si>
  <si>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</si>
  <si>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Page_Load</t>
    <phoneticPr fontId="3"/>
  </si>
  <si>
    <t>JVS</t>
    <phoneticPr fontId="3"/>
  </si>
  <si>
    <t>Struts&amp;HibernateSkillup</t>
    <phoneticPr fontId="3"/>
  </si>
  <si>
    <t>Jyoti Shirahatti</t>
    <phoneticPr fontId="3"/>
  </si>
  <si>
    <t>Assignment1</t>
    <phoneticPr fontId="3"/>
  </si>
  <si>
    <t>Login</t>
  </si>
  <si>
    <t>Login</t>
    <phoneticPr fontId="3"/>
  </si>
  <si>
    <t>Login.jsp</t>
  </si>
  <si>
    <t>Login.jsp</t>
    <phoneticPr fontId="3"/>
  </si>
  <si>
    <t>① User Name</t>
  </si>
  <si>
    <t>② Password</t>
  </si>
  <si>
    <t>③ Header Text</t>
  </si>
  <si>
    <t>④ Page Title</t>
  </si>
  <si>
    <t>⑤ Operation Button</t>
  </si>
  <si>
    <t>Clear</t>
  </si>
  <si>
    <t>⑥ Exception</t>
  </si>
  <si>
    <t>Verification of path flow during program execution</t>
  </si>
  <si>
    <t>Element</t>
  </si>
  <si>
    <t>Blank</t>
  </si>
  <si>
    <t>Clickable</t>
  </si>
  <si>
    <t>Editable</t>
  </si>
  <si>
    <t>Visible</t>
  </si>
  <si>
    <t>True</t>
  </si>
  <si>
    <t>Focus</t>
  </si>
  <si>
    <t>User Name</t>
  </si>
  <si>
    <t>Header Text</t>
  </si>
  <si>
    <t>Page Title</t>
  </si>
  <si>
    <t>Login Details</t>
  </si>
  <si>
    <t>Page will be redirect to ERROR page</t>
  </si>
  <si>
    <t>○</t>
  </si>
  <si>
    <t>N</t>
  </si>
  <si>
    <t>A</t>
  </si>
  <si>
    <t>Jyoti</t>
    <phoneticPr fontId="3"/>
  </si>
  <si>
    <t>OK</t>
  </si>
  <si>
    <t>=GetBugSheetName()</t>
  </si>
  <si>
    <t>Login_Click</t>
  </si>
  <si>
    <t>③ Login Button Click</t>
  </si>
  <si>
    <t>④ Exception occurred</t>
  </si>
  <si>
    <t>Database Connection Exception</t>
  </si>
  <si>
    <t>SQL Exception</t>
  </si>
  <si>
    <t>Exception</t>
  </si>
  <si>
    <t>login_Click</t>
    <phoneticPr fontId="3"/>
  </si>
  <si>
    <t>a12344f (Invalid Login ID)</t>
    <phoneticPr fontId="3"/>
  </si>
  <si>
    <t>ADI123456</t>
    <phoneticPr fontId="3"/>
  </si>
  <si>
    <t>122333@j (Invalid Password)</t>
    <phoneticPr fontId="3"/>
  </si>
  <si>
    <t>ADI@12345</t>
    <phoneticPr fontId="3"/>
  </si>
  <si>
    <t>Below error message is displayed</t>
  </si>
  <si>
    <t>Please enter "UserName"</t>
  </si>
  <si>
    <t>Please enter "Password"</t>
  </si>
  <si>
    <t>Please enter correct "User Name"</t>
  </si>
  <si>
    <t>Please enter correct “Password”</t>
  </si>
  <si>
    <t>No error message is displayed</t>
  </si>
  <si>
    <t>Page will be redirect to ERROR Page</t>
  </si>
  <si>
    <t>Errro code</t>
  </si>
  <si>
    <t>ERR00001</t>
  </si>
  <si>
    <t>ERR00002</t>
  </si>
  <si>
    <t>ERR00003</t>
  </si>
  <si>
    <t>Errro Message</t>
  </si>
  <si>
    <t>① Error Occurred while executing query  (Like Table not found,error in select query)</t>
  </si>
  <si>
    <t>② Error Occurred class not found,driver not found</t>
  </si>
  <si>
    <t>③ Error Occurred, try again</t>
  </si>
  <si>
    <t>jyoti</t>
    <phoneticPr fontId="3"/>
  </si>
  <si>
    <t>Clear_Click</t>
  </si>
  <si>
    <t>Login Details correct</t>
    <phoneticPr fontId="3"/>
  </si>
  <si>
    <t>Page Redirected to success.jsp page</t>
    <phoneticPr fontId="3"/>
  </si>
  <si>
    <t>Logged in successfully message displayed with username</t>
    <phoneticPr fontId="3"/>
  </si>
  <si>
    <t>Struts &amp; hibernate skillup</t>
    <phoneticPr fontId="3"/>
  </si>
  <si>
    <t>Assignment 1</t>
    <phoneticPr fontId="3"/>
  </si>
  <si>
    <t>Struts &amp; Hibernate skillup</t>
    <phoneticPr fontId="3"/>
  </si>
  <si>
    <t>Clear_Click</t>
    <phoneticPr fontId="3"/>
  </si>
  <si>
    <t>① Clear Button Click</t>
  </si>
  <si>
    <t>Focus will set on User Name textfield</t>
    <phoneticPr fontId="3"/>
  </si>
  <si>
    <t>Page_Load</t>
    <phoneticPr fontId="3"/>
  </si>
  <si>
    <t>Login_Click</t>
    <phoneticPr fontId="3"/>
  </si>
  <si>
    <t>Clear_Click</t>
    <phoneticPr fontId="3"/>
  </si>
  <si>
    <t>Logout_Click</t>
  </si>
  <si>
    <t>Logout_Click</t>
    <phoneticPr fontId="3"/>
  </si>
  <si>
    <t>Assignment1</t>
    <phoneticPr fontId="3"/>
  </si>
  <si>
    <t>Logout</t>
    <phoneticPr fontId="3"/>
  </si>
  <si>
    <t>Success.jsp</t>
    <phoneticPr fontId="3"/>
  </si>
  <si>
    <t>Logout_Click</t>
    <phoneticPr fontId="3"/>
  </si>
  <si>
    <t>① Logout Button Click</t>
    <phoneticPr fontId="3"/>
  </si>
  <si>
    <t>Redirect to login.jsp page</t>
    <phoneticPr fontId="3"/>
  </si>
  <si>
    <t>①Username</t>
    <phoneticPr fontId="3"/>
  </si>
  <si>
    <t>Blank</t>
    <phoneticPr fontId="3"/>
  </si>
  <si>
    <t>② Password</t>
    <phoneticPr fontId="3"/>
  </si>
  <si>
    <t>Focus on Username</t>
    <phoneticPr fontId="3"/>
  </si>
  <si>
    <t>Jyoti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</si>
</sst>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9"/>
      <name val="Times New Roman"/>
      <family val="1"/>
      <charset val="1"/>
    </font>
    <font>
      <sz val="9"/>
      <name val="Times New Roman"/>
      <family val="1"/>
      <charset val="128"/>
    </font>
    <font>
      <sz val="9"/>
      <color indexed="12"/>
      <name val="Times New Roman"/>
      <family val="1"/>
      <charset val="128"/>
    </font>
    <font>
      <sz val="8"/>
      <color indexed="8"/>
      <name val="Tahoma"/>
      <family val="2"/>
      <charset val="128"/>
    </font>
    <font>
      <b/>
      <sz val="8"/>
      <color indexed="8"/>
      <name val="Tahoma"/>
      <family val="2"/>
      <charset val="128"/>
    </font>
    <font>
      <b/>
      <sz val="1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hair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hair">
        <color indexed="8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</cellStyleXfs>
  <cellXfs count="243">
    <xf numFmtId="0" fontId="0" fillId="0" borderId="0" xfId="0"/>
    <xf numFmtId="49" fontId="10" fillId="0" borderId="0" xfId="6" applyNumberFormat="1" applyFont="1" applyFill="1">
      <alignment vertical="center"/>
    </xf>
    <xf numFmtId="0" fontId="11" fillId="0" borderId="0" xfId="2" applyFont="1" applyAlignment="1">
      <alignment vertical="center"/>
    </xf>
    <xf numFmtId="0" fontId="11" fillId="0" borderId="0" xfId="2" applyFont="1" applyAlignment="1">
      <alignment horizontal="center" vertical="center" wrapText="1"/>
    </xf>
    <xf numFmtId="0" fontId="11" fillId="0" borderId="0" xfId="2" applyFont="1" applyAlignment="1">
      <alignment horizontal="center" vertical="center"/>
    </xf>
    <xf numFmtId="176" fontId="13" fillId="0" borderId="1" xfId="2" applyNumberFormat="1" applyFont="1" applyFill="1" applyBorder="1" applyAlignment="1">
      <alignment horizontal="center" vertical="center"/>
    </xf>
    <xf numFmtId="176" fontId="13" fillId="0" borderId="1" xfId="2" applyNumberFormat="1" applyFont="1" applyFill="1" applyBorder="1" applyAlignment="1">
      <alignment horizontal="left" vertical="center"/>
    </xf>
    <xf numFmtId="176" fontId="13" fillId="0" borderId="2" xfId="2" applyNumberFormat="1" applyFont="1" applyFill="1" applyBorder="1" applyAlignment="1">
      <alignment horizontal="center" vertical="center"/>
    </xf>
    <xf numFmtId="0" fontId="13" fillId="0" borderId="0" xfId="2" applyFont="1" applyFill="1" applyBorder="1" applyAlignment="1">
      <alignment horizontal="center" vertical="center"/>
    </xf>
    <xf numFmtId="49" fontId="10" fillId="0" borderId="0" xfId="6" applyNumberFormat="1" applyFont="1" applyFill="1" applyBorder="1">
      <alignment vertical="center"/>
    </xf>
    <xf numFmtId="49" fontId="10" fillId="0" borderId="3" xfId="6" applyNumberFormat="1" applyFont="1" applyFill="1" applyBorder="1" applyAlignment="1"/>
    <xf numFmtId="176" fontId="10" fillId="0" borderId="4" xfId="6" applyNumberFormat="1" applyFont="1" applyFill="1" applyBorder="1" applyAlignment="1">
      <alignment horizontal="center" vertical="center"/>
    </xf>
    <xf numFmtId="176" fontId="10" fillId="0" borderId="5" xfId="6" applyNumberFormat="1" applyFont="1" applyFill="1" applyBorder="1" applyAlignment="1">
      <alignment horizontal="center" vertical="center"/>
    </xf>
    <xf numFmtId="176" fontId="10" fillId="0" borderId="6" xfId="6" applyNumberFormat="1" applyFont="1" applyFill="1" applyBorder="1" applyAlignment="1">
      <alignment horizontal="center" vertical="center"/>
    </xf>
    <xf numFmtId="49" fontId="10" fillId="0" borderId="7" xfId="0" applyNumberFormat="1" applyFont="1" applyFill="1" applyBorder="1" applyAlignment="1">
      <alignment horizontal="center" vertical="top" wrapText="1"/>
    </xf>
    <xf numFmtId="49" fontId="10" fillId="0" borderId="8" xfId="0" applyNumberFormat="1" applyFont="1" applyFill="1" applyBorder="1" applyAlignment="1">
      <alignment horizontal="center" vertical="top" wrapText="1"/>
    </xf>
    <xf numFmtId="49" fontId="10" fillId="0" borderId="9" xfId="0" applyNumberFormat="1" applyFont="1" applyFill="1" applyBorder="1" applyAlignment="1">
      <alignment horizontal="center" vertical="top" wrapText="1"/>
    </xf>
    <xf numFmtId="49" fontId="10" fillId="0" borderId="0" xfId="6" applyNumberFormat="1" applyFont="1" applyFill="1" applyAlignment="1">
      <alignment vertical="center" wrapText="1"/>
    </xf>
    <xf numFmtId="49" fontId="10" fillId="0" borderId="10" xfId="0" applyNumberFormat="1" applyFont="1" applyFill="1" applyBorder="1" applyAlignment="1">
      <alignment horizontal="center" vertical="top" wrapText="1"/>
    </xf>
    <xf numFmtId="49" fontId="10" fillId="0" borderId="11" xfId="0" applyNumberFormat="1" applyFont="1" applyFill="1" applyBorder="1" applyAlignment="1">
      <alignment horizontal="center" vertical="top" wrapText="1"/>
    </xf>
    <xf numFmtId="49" fontId="10" fillId="0" borderId="12" xfId="0" applyNumberFormat="1" applyFont="1" applyFill="1" applyBorder="1" applyAlignment="1">
      <alignment horizontal="center" vertical="top" wrapText="1"/>
    </xf>
    <xf numFmtId="49" fontId="10" fillId="0" borderId="0" xfId="0" applyNumberFormat="1" applyFont="1" applyFill="1" applyBorder="1" applyAlignment="1">
      <alignment horizontal="left" vertical="top" wrapText="1"/>
    </xf>
    <xf numFmtId="49" fontId="10" fillId="0" borderId="10" xfId="0" applyNumberFormat="1" applyFont="1" applyFill="1" applyBorder="1" applyAlignment="1">
      <alignment horizontal="center" vertical="center" wrapText="1"/>
    </xf>
    <xf numFmtId="49" fontId="10" fillId="0" borderId="11" xfId="0" applyNumberFormat="1" applyFont="1" applyFill="1" applyBorder="1" applyAlignment="1">
      <alignment horizontal="center" vertical="center" wrapText="1"/>
    </xf>
    <xf numFmtId="49" fontId="10" fillId="0" borderId="12" xfId="0" applyNumberFormat="1" applyFont="1" applyFill="1" applyBorder="1" applyAlignment="1">
      <alignment horizontal="center" vertical="center" wrapText="1"/>
    </xf>
    <xf numFmtId="49" fontId="10" fillId="0" borderId="7" xfId="0" applyNumberFormat="1" applyFont="1" applyFill="1" applyBorder="1" applyAlignment="1">
      <alignment horizontal="center" vertical="center" wrapText="1"/>
    </xf>
    <xf numFmtId="49" fontId="10" fillId="0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Fill="1" applyBorder="1" applyAlignment="1">
      <alignment horizontal="center" vertical="center" wrapText="1"/>
    </xf>
    <xf numFmtId="49" fontId="10" fillId="0" borderId="13" xfId="0" applyNumberFormat="1" applyFont="1" applyFill="1" applyBorder="1" applyAlignment="1">
      <alignment horizontal="left" vertical="top" wrapText="1"/>
    </xf>
    <xf numFmtId="49" fontId="10" fillId="0" borderId="14" xfId="0" applyNumberFormat="1" applyFont="1" applyFill="1" applyBorder="1" applyAlignment="1">
      <alignment horizontal="center" vertical="center" wrapText="1"/>
    </xf>
    <xf numFmtId="49" fontId="10" fillId="0" borderId="15" xfId="0" applyNumberFormat="1" applyFont="1" applyFill="1" applyBorder="1" applyAlignment="1">
      <alignment horizontal="center" vertical="center" wrapText="1"/>
    </xf>
    <xf numFmtId="49" fontId="10" fillId="0" borderId="16" xfId="0" applyNumberFormat="1" applyFont="1" applyFill="1" applyBorder="1" applyAlignment="1">
      <alignment horizontal="center" vertical="center" wrapText="1"/>
    </xf>
    <xf numFmtId="49" fontId="10" fillId="0" borderId="17" xfId="0" applyNumberFormat="1" applyFont="1" applyFill="1" applyBorder="1" applyAlignment="1">
      <alignment horizontal="center" vertical="center" wrapText="1"/>
    </xf>
    <xf numFmtId="49" fontId="10" fillId="0" borderId="18" xfId="0" applyNumberFormat="1" applyFont="1" applyFill="1" applyBorder="1" applyAlignment="1">
      <alignment horizontal="center" vertical="center" wrapText="1"/>
    </xf>
    <xf numFmtId="49" fontId="10" fillId="0" borderId="19" xfId="0" applyNumberFormat="1" applyFont="1" applyFill="1" applyBorder="1" applyAlignment="1">
      <alignment horizontal="center" vertical="center" wrapText="1"/>
    </xf>
    <xf numFmtId="49" fontId="10" fillId="0" borderId="20" xfId="6" applyNumberFormat="1" applyFont="1" applyFill="1" applyBorder="1" applyAlignment="1">
      <alignment horizontal="center" vertical="center" wrapText="1"/>
    </xf>
    <xf numFmtId="49" fontId="10" fillId="0" borderId="7" xfId="6" applyNumberFormat="1" applyFont="1" applyFill="1" applyBorder="1" applyAlignment="1">
      <alignment horizontal="center" vertical="center" wrapText="1"/>
    </xf>
    <xf numFmtId="49" fontId="10" fillId="0" borderId="8" xfId="6" applyNumberFormat="1" applyFont="1" applyFill="1" applyBorder="1" applyAlignment="1">
      <alignment horizontal="center" vertical="center" wrapText="1"/>
    </xf>
    <xf numFmtId="49" fontId="10" fillId="0" borderId="9" xfId="6" applyNumberFormat="1" applyFont="1" applyFill="1" applyBorder="1" applyAlignment="1">
      <alignment horizontal="center" vertical="center" wrapText="1"/>
    </xf>
    <xf numFmtId="49" fontId="10" fillId="0" borderId="21" xfId="6" applyNumberFormat="1" applyFont="1" applyFill="1" applyBorder="1" applyAlignment="1">
      <alignment horizontal="center" vertical="center" wrapText="1"/>
    </xf>
    <xf numFmtId="49" fontId="10" fillId="0" borderId="10" xfId="6" applyNumberFormat="1" applyFont="1" applyFill="1" applyBorder="1" applyAlignment="1">
      <alignment horizontal="center" vertical="center" wrapText="1"/>
    </xf>
    <xf numFmtId="49" fontId="10" fillId="0" borderId="11" xfId="6" applyNumberFormat="1" applyFont="1" applyFill="1" applyBorder="1" applyAlignment="1">
      <alignment horizontal="center" vertical="center" wrapText="1"/>
    </xf>
    <xf numFmtId="49" fontId="10" fillId="0" borderId="12" xfId="6" applyNumberFormat="1" applyFont="1" applyFill="1" applyBorder="1" applyAlignment="1">
      <alignment horizontal="center" vertical="center" wrapText="1"/>
    </xf>
    <xf numFmtId="177" fontId="10" fillId="0" borderId="10" xfId="6" applyNumberFormat="1" applyFont="1" applyFill="1" applyBorder="1" applyAlignment="1">
      <alignment horizontal="center" vertical="center" wrapText="1"/>
    </xf>
    <xf numFmtId="177" fontId="10" fillId="0" borderId="11" xfId="6" applyNumberFormat="1" applyFont="1" applyFill="1" applyBorder="1" applyAlignment="1">
      <alignment horizontal="center" vertical="center" wrapText="1"/>
    </xf>
    <xf numFmtId="177" fontId="10" fillId="0" borderId="12" xfId="6" applyNumberFormat="1" applyFont="1" applyFill="1" applyBorder="1" applyAlignment="1">
      <alignment horizontal="center" vertical="center" wrapText="1"/>
    </xf>
    <xf numFmtId="49" fontId="10" fillId="0" borderId="22" xfId="6" applyNumberFormat="1" applyFont="1" applyFill="1" applyBorder="1" applyAlignment="1">
      <alignment horizontal="center" vertical="center" wrapText="1"/>
    </xf>
    <xf numFmtId="49" fontId="10" fillId="0" borderId="0" xfId="6" applyNumberFormat="1" applyFont="1" applyFill="1" applyAlignment="1">
      <alignment horizontal="center" vertical="center" wrapText="1"/>
    </xf>
    <xf numFmtId="49" fontId="10" fillId="0" borderId="23" xfId="6" applyNumberFormat="1" applyFont="1" applyFill="1" applyBorder="1" applyAlignment="1">
      <alignment horizontal="center" vertical="center" wrapText="1"/>
    </xf>
    <xf numFmtId="49" fontId="10" fillId="0" borderId="0" xfId="6" applyNumberFormat="1" applyFont="1" applyFill="1" applyBorder="1" applyAlignment="1">
      <alignment horizontal="center" vertical="center" wrapText="1"/>
    </xf>
    <xf numFmtId="49" fontId="10" fillId="0" borderId="0" xfId="6" applyNumberFormat="1" applyFont="1" applyFill="1" applyBorder="1" applyAlignment="1">
      <alignment vertical="center" wrapText="1"/>
    </xf>
    <xf numFmtId="49" fontId="10" fillId="0" borderId="0" xfId="6" applyNumberFormat="1" applyFont="1" applyFill="1" applyBorder="1" applyAlignment="1">
      <alignment horizontal="center" vertical="center"/>
    </xf>
    <xf numFmtId="176" fontId="13" fillId="0" borderId="2" xfId="2" applyNumberFormat="1" applyFont="1" applyFill="1" applyBorder="1" applyAlignment="1">
      <alignment horizontal="left" vertical="center"/>
    </xf>
    <xf numFmtId="49" fontId="10" fillId="0" borderId="15" xfId="6" applyNumberFormat="1" applyFont="1" applyFill="1" applyBorder="1" applyAlignment="1">
      <alignment horizontal="center" vertical="center" wrapText="1"/>
    </xf>
    <xf numFmtId="49" fontId="10" fillId="0" borderId="16" xfId="6" applyNumberFormat="1" applyFont="1" applyFill="1" applyBorder="1" applyAlignment="1">
      <alignment horizontal="center" vertical="center" wrapText="1"/>
    </xf>
    <xf numFmtId="0" fontId="10" fillId="0" borderId="18" xfId="6" applyNumberFormat="1" applyFont="1" applyFill="1" applyBorder="1" applyAlignment="1">
      <alignment horizontal="center" vertical="center" wrapText="1"/>
    </xf>
    <xf numFmtId="0" fontId="10" fillId="0" borderId="19" xfId="6" applyNumberFormat="1" applyFont="1" applyFill="1" applyBorder="1" applyAlignment="1">
      <alignment horizontal="center" vertical="center" wrapText="1"/>
    </xf>
    <xf numFmtId="176" fontId="11" fillId="0" borderId="0" xfId="2" applyNumberFormat="1" applyFont="1" applyFill="1" applyBorder="1" applyAlignment="1">
      <alignment horizontal="center" vertical="center"/>
    </xf>
    <xf numFmtId="176" fontId="11" fillId="0" borderId="0" xfId="2" applyNumberFormat="1" applyFont="1" applyFill="1" applyBorder="1" applyAlignment="1">
      <alignment horizontal="left" vertical="center"/>
    </xf>
    <xf numFmtId="0" fontId="11" fillId="0" borderId="0" xfId="2" applyFont="1" applyFill="1" applyAlignment="1">
      <alignment horizontal="center" vertical="center"/>
    </xf>
    <xf numFmtId="49" fontId="10" fillId="0" borderId="14" xfId="6" applyNumberFormat="1" applyFont="1" applyFill="1" applyBorder="1" applyAlignment="1">
      <alignment horizontal="center" vertical="center" wrapText="1"/>
    </xf>
    <xf numFmtId="0" fontId="10" fillId="0" borderId="17" xfId="6" applyNumberFormat="1" applyFont="1" applyFill="1" applyBorder="1" applyAlignment="1">
      <alignment horizontal="center" vertical="center" wrapText="1"/>
    </xf>
    <xf numFmtId="49" fontId="14" fillId="0" borderId="11" xfId="0" applyNumberFormat="1" applyFont="1" applyFill="1" applyBorder="1" applyAlignment="1">
      <alignment horizontal="center" vertical="center" wrapText="1"/>
    </xf>
    <xf numFmtId="49" fontId="10" fillId="2" borderId="7" xfId="6" applyNumberFormat="1" applyFont="1" applyFill="1" applyBorder="1" applyAlignment="1">
      <alignment vertical="center"/>
    </xf>
    <xf numFmtId="49" fontId="10" fillId="2" borderId="17" xfId="6" applyNumberFormat="1" applyFont="1" applyFill="1" applyBorder="1" applyAlignment="1">
      <alignment vertical="center"/>
    </xf>
    <xf numFmtId="49" fontId="15" fillId="0" borderId="24" xfId="6" applyNumberFormat="1" applyFont="1" applyFill="1" applyBorder="1" applyAlignment="1">
      <alignment horizontal="right" vertical="top" wrapText="1"/>
    </xf>
    <xf numFmtId="49" fontId="20" fillId="0" borderId="4" xfId="6" applyNumberFormat="1" applyFont="1" applyFill="1" applyBorder="1" applyAlignment="1"/>
    <xf numFmtId="49" fontId="14" fillId="0" borderId="8" xfId="0" applyNumberFormat="1" applyFont="1" applyFill="1" applyBorder="1" applyAlignment="1">
      <alignment horizontal="center" vertical="center" wrapText="1"/>
    </xf>
    <xf numFmtId="49" fontId="14" fillId="0" borderId="15" xfId="0" applyNumberFormat="1" applyFont="1" applyFill="1" applyBorder="1" applyAlignment="1">
      <alignment horizontal="center" vertical="center" wrapText="1"/>
    </xf>
    <xf numFmtId="49" fontId="14" fillId="0" borderId="11" xfId="6" applyNumberFormat="1" applyFont="1" applyFill="1" applyBorder="1" applyAlignment="1">
      <alignment horizontal="center" vertical="center" wrapText="1"/>
    </xf>
    <xf numFmtId="49" fontId="14" fillId="0" borderId="18" xfId="0" applyNumberFormat="1" applyFont="1" applyFill="1" applyBorder="1" applyAlignment="1">
      <alignment horizontal="center" vertical="center" wrapText="1"/>
    </xf>
    <xf numFmtId="49" fontId="4" fillId="0" borderId="45" xfId="7" applyNumberFormat="1" applyFont="1" applyFill="1" applyBorder="1" applyAlignment="1">
      <alignment horizontal="left" vertical="top" wrapText="1"/>
    </xf>
    <xf numFmtId="49" fontId="4" fillId="0" borderId="48" xfId="7" applyNumberFormat="1" applyFont="1" applyFill="1" applyBorder="1" applyAlignment="1">
      <alignment vertical="top" wrapText="1"/>
    </xf>
    <xf numFmtId="49" fontId="10" fillId="0" borderId="49" xfId="0" applyNumberFormat="1" applyFont="1" applyFill="1" applyBorder="1" applyAlignment="1">
      <alignment horizontal="center" vertical="center" wrapText="1"/>
    </xf>
    <xf numFmtId="49" fontId="10" fillId="0" borderId="50" xfId="0" applyNumberFormat="1" applyFont="1" applyFill="1" applyBorder="1" applyAlignment="1">
      <alignment horizontal="center" vertical="center" wrapText="1"/>
    </xf>
    <xf numFmtId="49" fontId="10" fillId="0" borderId="51" xfId="0" applyNumberFormat="1" applyFont="1" applyFill="1" applyBorder="1" applyAlignment="1">
      <alignment horizontal="center" vertical="center" wrapText="1"/>
    </xf>
    <xf numFmtId="49" fontId="4" fillId="0" borderId="53" xfId="0" applyNumberFormat="1" applyFont="1" applyFill="1" applyBorder="1" applyAlignment="1">
      <alignment horizontal="left" vertical="top" wrapText="1"/>
    </xf>
    <xf numFmtId="49" fontId="4" fillId="0" borderId="54" xfId="5" applyNumberFormat="1" applyFont="1" applyFill="1" applyBorder="1" applyAlignment="1">
      <alignment wrapText="1"/>
    </xf>
    <xf numFmtId="49" fontId="4" fillId="0" borderId="55" xfId="5" applyNumberFormat="1" applyFont="1" applyFill="1" applyBorder="1" applyAlignment="1">
      <alignment wrapText="1"/>
    </xf>
    <xf numFmtId="49" fontId="4" fillId="0" borderId="46" xfId="5" applyNumberFormat="1" applyFont="1" applyFill="1" applyBorder="1" applyAlignment="1">
      <alignment horizontal="left" wrapText="1"/>
    </xf>
    <xf numFmtId="49" fontId="4" fillId="0" borderId="56" xfId="8" applyNumberFormat="1" applyFont="1" applyFill="1" applyBorder="1" applyAlignment="1">
      <alignment horizontal="center" vertical="top" wrapText="1"/>
    </xf>
    <xf numFmtId="49" fontId="4" fillId="0" borderId="56" xfId="0" applyNumberFormat="1" applyFont="1" applyFill="1" applyBorder="1" applyAlignment="1">
      <alignment horizontal="center" vertical="center" wrapText="1"/>
    </xf>
    <xf numFmtId="49" fontId="4" fillId="0" borderId="57" xfId="0" applyNumberFormat="1" applyFont="1" applyFill="1" applyBorder="1" applyAlignment="1">
      <alignment horizontal="center" vertical="center" wrapText="1"/>
    </xf>
    <xf numFmtId="49" fontId="4" fillId="0" borderId="58" xfId="0" applyNumberFormat="1" applyFont="1" applyFill="1" applyBorder="1" applyAlignment="1">
      <alignment horizontal="center" vertical="center" wrapText="1"/>
    </xf>
    <xf numFmtId="49" fontId="4" fillId="0" borderId="54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left" vertical="top" wrapText="1"/>
    </xf>
    <xf numFmtId="49" fontId="4" fillId="0" borderId="0" xfId="7" applyNumberFormat="1" applyFont="1" applyFill="1" applyBorder="1" applyAlignment="1">
      <alignment horizontal="left" vertical="top" wrapText="1"/>
    </xf>
    <xf numFmtId="49" fontId="4" fillId="0" borderId="55" xfId="7" applyNumberFormat="1" applyFont="1" applyFill="1" applyBorder="1" applyAlignment="1">
      <alignment vertical="top" wrapText="1"/>
    </xf>
    <xf numFmtId="49" fontId="4" fillId="0" borderId="54" xfId="7" applyNumberFormat="1" applyFont="1" applyFill="1" applyBorder="1" applyAlignment="1">
      <alignment vertical="top" wrapText="1"/>
    </xf>
    <xf numFmtId="49" fontId="4" fillId="0" borderId="62" xfId="7" applyNumberFormat="1" applyFont="1" applyFill="1" applyBorder="1" applyAlignment="1">
      <alignment vertical="top" wrapText="1"/>
    </xf>
    <xf numFmtId="49" fontId="14" fillId="0" borderId="50" xfId="0" applyNumberFormat="1" applyFont="1" applyFill="1" applyBorder="1" applyAlignment="1">
      <alignment horizontal="center" vertical="center" wrapText="1"/>
    </xf>
    <xf numFmtId="49" fontId="4" fillId="0" borderId="54" xfId="6" applyNumberFormat="1" applyFont="1" applyFill="1" applyBorder="1" applyAlignment="1">
      <alignment vertical="center" wrapText="1"/>
    </xf>
    <xf numFmtId="49" fontId="4" fillId="0" borderId="48" xfId="6" applyNumberFormat="1" applyFont="1" applyFill="1" applyBorder="1" applyAlignment="1">
      <alignment vertical="center" wrapText="1"/>
    </xf>
    <xf numFmtId="0" fontId="0" fillId="0" borderId="63" xfId="0" applyBorder="1"/>
    <xf numFmtId="49" fontId="4" fillId="0" borderId="48" xfId="5" applyNumberFormat="1" applyFont="1" applyFill="1" applyBorder="1" applyAlignment="1">
      <alignment wrapText="1"/>
    </xf>
    <xf numFmtId="49" fontId="4" fillId="0" borderId="11" xfId="7" applyNumberFormat="1" applyFont="1" applyFill="1" applyBorder="1" applyAlignment="1">
      <alignment horizontal="center" vertical="center" wrapText="1"/>
    </xf>
    <xf numFmtId="0" fontId="0" fillId="0" borderId="11" xfId="0" applyBorder="1"/>
    <xf numFmtId="49" fontId="4" fillId="0" borderId="11" xfId="0" applyNumberFormat="1" applyFont="1" applyFill="1" applyBorder="1" applyAlignment="1">
      <alignment horizontal="center" vertical="center" wrapText="1"/>
    </xf>
    <xf numFmtId="49" fontId="4" fillId="0" borderId="11" xfId="8" applyNumberFormat="1" applyFont="1" applyFill="1" applyBorder="1" applyAlignment="1">
      <alignment horizontal="center" vertical="top" wrapText="1"/>
    </xf>
    <xf numFmtId="49" fontId="4" fillId="0" borderId="64" xfId="7" applyNumberFormat="1" applyFont="1" applyFill="1" applyBorder="1" applyAlignment="1">
      <alignment horizontal="center" vertical="center" wrapText="1"/>
    </xf>
    <xf numFmtId="49" fontId="4" fillId="0" borderId="64" xfId="0" applyNumberFormat="1" applyFont="1" applyFill="1" applyBorder="1" applyAlignment="1">
      <alignment horizontal="center" vertical="center" wrapText="1"/>
    </xf>
    <xf numFmtId="49" fontId="4" fillId="0" borderId="65" xfId="0" applyNumberFormat="1" applyFont="1" applyFill="1" applyBorder="1" applyAlignment="1">
      <alignment horizontal="center" vertical="center" wrapText="1"/>
    </xf>
    <xf numFmtId="49" fontId="4" fillId="0" borderId="66" xfId="0" applyNumberFormat="1" applyFont="1" applyFill="1" applyBorder="1" applyAlignment="1">
      <alignment horizontal="center" vertical="center" wrapText="1"/>
    </xf>
    <xf numFmtId="0" fontId="0" fillId="0" borderId="66" xfId="0" applyBorder="1"/>
    <xf numFmtId="49" fontId="4" fillId="0" borderId="66" xfId="8" applyNumberFormat="1" applyFont="1" applyFill="1" applyBorder="1" applyAlignment="1">
      <alignment horizontal="center" vertical="top" wrapText="1"/>
    </xf>
    <xf numFmtId="49" fontId="10" fillId="0" borderId="67" xfId="6" applyNumberFormat="1" applyFont="1" applyFill="1" applyBorder="1" applyAlignment="1">
      <alignment horizontal="center" vertical="center" wrapText="1"/>
    </xf>
    <xf numFmtId="49" fontId="10" fillId="0" borderId="68" xfId="6" applyNumberFormat="1" applyFont="1" applyFill="1" applyBorder="1" applyAlignment="1">
      <alignment horizontal="center" vertical="center" wrapText="1"/>
    </xf>
    <xf numFmtId="49" fontId="4" fillId="0" borderId="57" xfId="7" applyNumberFormat="1" applyFont="1" applyFill="1" applyBorder="1" applyAlignment="1">
      <alignment horizontal="center" vertical="center" wrapText="1"/>
    </xf>
    <xf numFmtId="49" fontId="10" fillId="0" borderId="37" xfId="6" applyNumberFormat="1" applyFont="1" applyFill="1" applyBorder="1" applyAlignment="1">
      <alignment horizontal="center" vertical="center" wrapText="1"/>
    </xf>
    <xf numFmtId="49" fontId="10" fillId="0" borderId="37" xfId="0" applyNumberFormat="1" applyFont="1" applyFill="1" applyBorder="1" applyAlignment="1">
      <alignment horizontal="center" vertical="top" wrapText="1"/>
    </xf>
    <xf numFmtId="49" fontId="10" fillId="0" borderId="11" xfId="6" applyNumberFormat="1" applyFont="1" applyFill="1" applyBorder="1" applyAlignment="1">
      <alignment horizontal="center" vertical="center" wrapText="1"/>
    </xf>
    <xf numFmtId="0" fontId="27" fillId="0" borderId="0" xfId="0" applyFont="1"/>
    <xf numFmtId="0" fontId="21" fillId="7" borderId="0" xfId="2" applyFont="1" applyFill="1" applyAlignment="1">
      <alignment horizontal="center" vertical="center" wrapText="1"/>
    </xf>
    <xf numFmtId="9" fontId="11" fillId="3" borderId="22" xfId="3" applyNumberFormat="1" applyFont="1" applyFill="1" applyBorder="1" applyAlignment="1">
      <alignment horizontal="center" vertical="center"/>
    </xf>
    <xf numFmtId="9" fontId="11" fillId="3" borderId="1" xfId="3" applyNumberFormat="1" applyFont="1" applyFill="1" applyBorder="1" applyAlignment="1">
      <alignment horizontal="center" vertical="center"/>
    </xf>
    <xf numFmtId="9" fontId="11" fillId="3" borderId="25" xfId="3" applyNumberFormat="1" applyFont="1" applyFill="1" applyBorder="1" applyAlignment="1">
      <alignment horizontal="center" vertical="center"/>
    </xf>
    <xf numFmtId="176" fontId="11" fillId="4" borderId="22" xfId="2" applyNumberFormat="1" applyFont="1" applyFill="1" applyBorder="1" applyAlignment="1">
      <alignment horizontal="center" vertical="center"/>
    </xf>
    <xf numFmtId="176" fontId="11" fillId="4" borderId="1" xfId="2" applyNumberFormat="1" applyFont="1" applyFill="1" applyBorder="1" applyAlignment="1">
      <alignment horizontal="center" vertical="center"/>
    </xf>
    <xf numFmtId="176" fontId="11" fillId="4" borderId="25" xfId="2" applyNumberFormat="1" applyFont="1" applyFill="1" applyBorder="1" applyAlignment="1">
      <alignment horizontal="center" vertical="center"/>
    </xf>
    <xf numFmtId="176" fontId="11" fillId="2" borderId="22" xfId="2" applyNumberFormat="1" applyFont="1" applyFill="1" applyBorder="1" applyAlignment="1">
      <alignment horizontal="center" vertical="center"/>
    </xf>
    <xf numFmtId="176" fontId="11" fillId="2" borderId="1" xfId="2" applyNumberFormat="1" applyFont="1" applyFill="1" applyBorder="1" applyAlignment="1">
      <alignment horizontal="center" vertical="center"/>
    </xf>
    <xf numFmtId="176" fontId="11" fillId="2" borderId="25" xfId="2" applyNumberFormat="1" applyFont="1" applyFill="1" applyBorder="1" applyAlignment="1">
      <alignment horizontal="center" vertical="center"/>
    </xf>
    <xf numFmtId="176" fontId="11" fillId="0" borderId="22" xfId="2" applyNumberFormat="1" applyFont="1" applyBorder="1" applyAlignment="1">
      <alignment horizontal="center" vertical="center"/>
    </xf>
    <xf numFmtId="176" fontId="11" fillId="0" borderId="25" xfId="2" applyNumberFormat="1" applyFont="1" applyBorder="1" applyAlignment="1">
      <alignment horizontal="center" vertical="center"/>
    </xf>
    <xf numFmtId="176" fontId="11" fillId="0" borderId="22" xfId="2" applyNumberFormat="1" applyFont="1" applyBorder="1" applyAlignment="1" applyProtection="1">
      <alignment vertical="center" wrapText="1"/>
      <protection locked="0"/>
    </xf>
    <xf numFmtId="176" fontId="11" fillId="0" borderId="1" xfId="2" applyNumberFormat="1" applyFont="1" applyBorder="1" applyAlignment="1" applyProtection="1">
      <alignment vertical="center" wrapText="1"/>
      <protection locked="0"/>
    </xf>
    <xf numFmtId="176" fontId="11" fillId="0" borderId="25" xfId="2" applyNumberFormat="1" applyFont="1" applyBorder="1" applyAlignment="1" applyProtection="1">
      <alignment vertical="center" wrapText="1"/>
      <protection locked="0"/>
    </xf>
    <xf numFmtId="176" fontId="11" fillId="0" borderId="1" xfId="2" applyNumberFormat="1" applyFont="1" applyBorder="1" applyAlignment="1">
      <alignment horizontal="center" vertical="center"/>
    </xf>
    <xf numFmtId="0" fontId="12" fillId="6" borderId="4" xfId="0" applyFont="1" applyFill="1" applyBorder="1" applyAlignment="1" applyProtection="1">
      <alignment horizontal="center" vertical="center" wrapText="1"/>
      <protection locked="0"/>
    </xf>
    <xf numFmtId="0" fontId="12" fillId="6" borderId="3" xfId="0" applyFont="1" applyFill="1" applyBorder="1" applyAlignment="1" applyProtection="1">
      <alignment horizontal="center" vertical="center" wrapText="1"/>
      <protection locked="0"/>
    </xf>
    <xf numFmtId="0" fontId="12" fillId="6" borderId="30" xfId="0" applyFont="1" applyFill="1" applyBorder="1" applyAlignment="1" applyProtection="1">
      <alignment horizontal="center" vertical="center" wrapText="1"/>
      <protection locked="0"/>
    </xf>
    <xf numFmtId="0" fontId="11" fillId="5" borderId="22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0" fontId="11" fillId="4" borderId="21" xfId="0" applyFont="1" applyFill="1" applyBorder="1" applyAlignment="1">
      <alignment horizontal="center" vertical="center" wrapText="1"/>
    </xf>
    <xf numFmtId="0" fontId="11" fillId="4" borderId="28" xfId="0" applyFont="1" applyFill="1" applyBorder="1" applyAlignment="1">
      <alignment horizontal="center" vertical="center" wrapText="1"/>
    </xf>
    <xf numFmtId="0" fontId="11" fillId="4" borderId="29" xfId="0" applyFont="1" applyFill="1" applyBorder="1" applyAlignment="1">
      <alignment horizontal="center" vertical="center" wrapText="1"/>
    </xf>
    <xf numFmtId="0" fontId="11" fillId="5" borderId="26" xfId="0" applyFont="1" applyFill="1" applyBorder="1" applyAlignment="1">
      <alignment horizontal="center" vertical="center"/>
    </xf>
    <xf numFmtId="0" fontId="11" fillId="5" borderId="27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 wrapText="1"/>
    </xf>
    <xf numFmtId="176" fontId="11" fillId="3" borderId="26" xfId="2" applyNumberFormat="1" applyFont="1" applyFill="1" applyBorder="1" applyAlignment="1">
      <alignment horizontal="center" vertical="center"/>
    </xf>
    <xf numFmtId="176" fontId="11" fillId="3" borderId="2" xfId="2" applyNumberFormat="1" applyFont="1" applyFill="1" applyBorder="1" applyAlignment="1">
      <alignment horizontal="center" vertical="center"/>
    </xf>
    <xf numFmtId="176" fontId="11" fillId="3" borderId="27" xfId="2" applyNumberFormat="1" applyFont="1" applyFill="1" applyBorder="1" applyAlignment="1">
      <alignment horizontal="center" vertical="center"/>
    </xf>
    <xf numFmtId="176" fontId="11" fillId="3" borderId="21" xfId="2" applyNumberFormat="1" applyFont="1" applyFill="1" applyBorder="1" applyAlignment="1">
      <alignment horizontal="center" vertical="center"/>
    </xf>
    <xf numFmtId="176" fontId="11" fillId="3" borderId="28" xfId="2" applyNumberFormat="1" applyFont="1" applyFill="1" applyBorder="1" applyAlignment="1">
      <alignment horizontal="center" vertical="center"/>
    </xf>
    <xf numFmtId="176" fontId="11" fillId="3" borderId="29" xfId="2" applyNumberFormat="1" applyFont="1" applyFill="1" applyBorder="1" applyAlignment="1">
      <alignment horizontal="center" vertical="center"/>
    </xf>
    <xf numFmtId="176" fontId="11" fillId="3" borderId="22" xfId="2" applyNumberFormat="1" applyFont="1" applyFill="1" applyBorder="1" applyAlignment="1">
      <alignment horizontal="center" vertical="center"/>
    </xf>
    <xf numFmtId="176" fontId="11" fillId="3" borderId="1" xfId="2" applyNumberFormat="1" applyFont="1" applyFill="1" applyBorder="1" applyAlignment="1">
      <alignment horizontal="center" vertical="center"/>
    </xf>
    <xf numFmtId="176" fontId="11" fillId="3" borderId="25" xfId="2" applyNumberFormat="1" applyFont="1" applyFill="1" applyBorder="1" applyAlignment="1">
      <alignment horizontal="center" vertical="center"/>
    </xf>
    <xf numFmtId="0" fontId="11" fillId="3" borderId="22" xfId="2" applyFont="1" applyFill="1" applyBorder="1" applyAlignment="1">
      <alignment horizontal="center" vertical="center"/>
    </xf>
    <xf numFmtId="0" fontId="11" fillId="3" borderId="1" xfId="2" applyFont="1" applyFill="1" applyBorder="1" applyAlignment="1">
      <alignment horizontal="center" vertical="center"/>
    </xf>
    <xf numFmtId="0" fontId="11" fillId="3" borderId="25" xfId="2" applyFont="1" applyFill="1" applyBorder="1" applyAlignment="1">
      <alignment horizontal="center" vertical="center"/>
    </xf>
    <xf numFmtId="0" fontId="11" fillId="5" borderId="21" xfId="0" applyFont="1" applyFill="1" applyBorder="1" applyAlignment="1">
      <alignment horizontal="center" vertical="center"/>
    </xf>
    <xf numFmtId="0" fontId="11" fillId="5" borderId="29" xfId="0" applyFont="1" applyFill="1" applyBorder="1" applyAlignment="1">
      <alignment horizontal="center" vertical="center"/>
    </xf>
    <xf numFmtId="0" fontId="11" fillId="5" borderId="28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0" fontId="11" fillId="4" borderId="27" xfId="0" applyFont="1" applyFill="1" applyBorder="1" applyAlignment="1">
      <alignment horizontal="center" vertical="center" wrapText="1"/>
    </xf>
    <xf numFmtId="0" fontId="11" fillId="5" borderId="22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11" fillId="5" borderId="25" xfId="0" applyFont="1" applyFill="1" applyBorder="1" applyAlignment="1">
      <alignment horizontal="center"/>
    </xf>
    <xf numFmtId="49" fontId="19" fillId="0" borderId="42" xfId="6" applyNumberFormat="1" applyFont="1" applyFill="1" applyBorder="1" applyAlignment="1">
      <alignment horizontal="center" vertical="center" wrapText="1"/>
    </xf>
    <xf numFmtId="49" fontId="19" fillId="0" borderId="43" xfId="6" applyNumberFormat="1" applyFont="1" applyFill="1" applyBorder="1" applyAlignment="1">
      <alignment horizontal="center" vertical="center" wrapText="1"/>
    </xf>
    <xf numFmtId="49" fontId="10" fillId="0" borderId="11" xfId="6" applyNumberFormat="1" applyFont="1" applyFill="1" applyBorder="1" applyAlignment="1">
      <alignment horizontal="center" vertical="center" wrapText="1"/>
    </xf>
    <xf numFmtId="0" fontId="10" fillId="0" borderId="22" xfId="6" applyNumberFormat="1" applyFont="1" applyFill="1" applyBorder="1" applyAlignment="1">
      <alignment horizontal="right" vertical="center" wrapText="1"/>
    </xf>
    <xf numFmtId="0" fontId="10" fillId="0" borderId="44" xfId="6" applyNumberFormat="1" applyFont="1" applyFill="1" applyBorder="1" applyAlignment="1">
      <alignment horizontal="right" vertical="center" wrapText="1"/>
    </xf>
    <xf numFmtId="49" fontId="10" fillId="0" borderId="38" xfId="6" applyNumberFormat="1" applyFont="1" applyFill="1" applyBorder="1" applyAlignment="1">
      <alignment horizontal="center" vertical="center" wrapText="1"/>
    </xf>
    <xf numFmtId="49" fontId="10" fillId="0" borderId="39" xfId="6" applyNumberFormat="1" applyFont="1" applyFill="1" applyBorder="1" applyAlignment="1">
      <alignment horizontal="center" vertical="center" wrapText="1"/>
    </xf>
    <xf numFmtId="49" fontId="10" fillId="0" borderId="40" xfId="6" applyNumberFormat="1" applyFont="1" applyFill="1" applyBorder="1" applyAlignment="1">
      <alignment horizontal="center" vertical="center" wrapText="1"/>
    </xf>
    <xf numFmtId="49" fontId="10" fillId="0" borderId="41" xfId="6" applyNumberFormat="1" applyFont="1" applyFill="1" applyBorder="1" applyAlignment="1">
      <alignment horizontal="center" vertical="center" wrapText="1"/>
    </xf>
    <xf numFmtId="49" fontId="10" fillId="0" borderId="20" xfId="6" applyNumberFormat="1" applyFont="1" applyFill="1" applyBorder="1" applyAlignment="1">
      <alignment horizontal="center" vertical="center"/>
    </xf>
    <xf numFmtId="49" fontId="10" fillId="0" borderId="33" xfId="6" applyNumberFormat="1" applyFont="1" applyFill="1" applyBorder="1" applyAlignment="1">
      <alignment horizontal="center" vertical="center"/>
    </xf>
    <xf numFmtId="49" fontId="10" fillId="0" borderId="34" xfId="6" applyNumberFormat="1" applyFont="1" applyFill="1" applyBorder="1" applyAlignment="1">
      <alignment horizontal="center" vertical="center"/>
    </xf>
    <xf numFmtId="49" fontId="10" fillId="2" borderId="8" xfId="6" applyNumberFormat="1" applyFont="1" applyFill="1" applyBorder="1" applyAlignment="1">
      <alignment horizontal="center" vertical="center"/>
    </xf>
    <xf numFmtId="177" fontId="10" fillId="0" borderId="8" xfId="6" applyNumberFormat="1" applyFont="1" applyFill="1" applyBorder="1" applyAlignment="1">
      <alignment horizontal="center" vertical="center"/>
    </xf>
    <xf numFmtId="177" fontId="10" fillId="0" borderId="9" xfId="6" applyNumberFormat="1" applyFont="1" applyFill="1" applyBorder="1" applyAlignment="1">
      <alignment horizontal="center" vertical="center"/>
    </xf>
    <xf numFmtId="49" fontId="10" fillId="0" borderId="38" xfId="6" applyNumberFormat="1" applyFont="1" applyFill="1" applyBorder="1" applyAlignment="1">
      <alignment horizontal="center" vertical="center"/>
    </xf>
    <xf numFmtId="49" fontId="10" fillId="0" borderId="39" xfId="6" applyNumberFormat="1" applyFont="1" applyFill="1" applyBorder="1" applyAlignment="1">
      <alignment horizontal="center" vertical="center"/>
    </xf>
    <xf numFmtId="49" fontId="10" fillId="0" borderId="40" xfId="6" applyNumberFormat="1" applyFont="1" applyFill="1" applyBorder="1" applyAlignment="1">
      <alignment horizontal="center" vertical="center"/>
    </xf>
    <xf numFmtId="49" fontId="10" fillId="2" borderId="38" xfId="6" applyNumberFormat="1" applyFont="1" applyFill="1" applyBorder="1" applyAlignment="1">
      <alignment horizontal="center" vertical="center"/>
    </xf>
    <xf numFmtId="49" fontId="10" fillId="2" borderId="39" xfId="6" applyNumberFormat="1" applyFont="1" applyFill="1" applyBorder="1" applyAlignment="1">
      <alignment horizontal="center" vertical="center"/>
    </xf>
    <xf numFmtId="49" fontId="10" fillId="2" borderId="20" xfId="6" applyNumberFormat="1" applyFont="1" applyFill="1" applyBorder="1" applyAlignment="1">
      <alignment horizontal="center" vertical="center"/>
    </xf>
    <xf numFmtId="49" fontId="10" fillId="2" borderId="33" xfId="6" applyNumberFormat="1" applyFont="1" applyFill="1" applyBorder="1" applyAlignment="1">
      <alignment horizontal="center" vertical="center"/>
    </xf>
    <xf numFmtId="49" fontId="10" fillId="2" borderId="34" xfId="6" applyNumberFormat="1" applyFont="1" applyFill="1" applyBorder="1" applyAlignment="1">
      <alignment horizontal="center" vertical="center"/>
    </xf>
    <xf numFmtId="49" fontId="10" fillId="0" borderId="41" xfId="6" applyNumberFormat="1" applyFont="1" applyFill="1" applyBorder="1" applyAlignment="1">
      <alignment horizontal="center" vertical="center"/>
    </xf>
    <xf numFmtId="49" fontId="17" fillId="0" borderId="31" xfId="6" applyNumberFormat="1" applyFont="1" applyFill="1" applyBorder="1" applyAlignment="1">
      <alignment horizontal="center" vertical="center" wrapText="1"/>
    </xf>
    <xf numFmtId="49" fontId="17" fillId="0" borderId="32" xfId="6" applyNumberFormat="1" applyFont="1" applyFill="1" applyBorder="1" applyAlignment="1">
      <alignment horizontal="center" vertical="center" wrapText="1"/>
    </xf>
    <xf numFmtId="49" fontId="10" fillId="0" borderId="23" xfId="0" applyNumberFormat="1" applyFont="1" applyFill="1" applyBorder="1" applyAlignment="1">
      <alignment horizontal="left" vertical="top" wrapText="1"/>
    </xf>
    <xf numFmtId="49" fontId="10" fillId="0" borderId="22" xfId="0" applyNumberFormat="1" applyFont="1" applyFill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49" fontId="4" fillId="0" borderId="26" xfId="0" applyNumberFormat="1" applyFont="1" applyFill="1" applyBorder="1" applyAlignment="1">
      <alignment horizontal="left" vertical="top" wrapText="1"/>
    </xf>
    <xf numFmtId="49" fontId="10" fillId="0" borderId="1" xfId="0" applyNumberFormat="1" applyFont="1" applyFill="1" applyBorder="1" applyAlignment="1">
      <alignment horizontal="left" vertical="top" wrapText="1"/>
    </xf>
    <xf numFmtId="49" fontId="10" fillId="0" borderId="37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16" fillId="0" borderId="31" xfId="6" applyNumberFormat="1" applyFont="1" applyFill="1" applyBorder="1" applyAlignment="1">
      <alignment horizontal="center" vertical="center" wrapText="1"/>
    </xf>
    <xf numFmtId="49" fontId="16" fillId="0" borderId="32" xfId="6" applyNumberFormat="1" applyFont="1" applyFill="1" applyBorder="1" applyAlignment="1">
      <alignment horizontal="center" vertical="center" wrapText="1"/>
    </xf>
    <xf numFmtId="49" fontId="10" fillId="0" borderId="20" xfId="6" applyNumberFormat="1" applyFont="1" applyFill="1" applyBorder="1" applyAlignment="1">
      <alignment vertical="center" wrapText="1"/>
    </xf>
    <xf numFmtId="49" fontId="10" fillId="0" borderId="33" xfId="6" applyNumberFormat="1" applyFont="1" applyFill="1" applyBorder="1" applyAlignment="1">
      <alignment vertical="center" wrapText="1"/>
    </xf>
    <xf numFmtId="49" fontId="10" fillId="0" borderId="34" xfId="6" applyNumberFormat="1" applyFont="1" applyFill="1" applyBorder="1" applyAlignment="1">
      <alignment vertical="center" wrapText="1"/>
    </xf>
    <xf numFmtId="49" fontId="10" fillId="0" borderId="22" xfId="6" applyNumberFormat="1" applyFont="1" applyFill="1" applyBorder="1" applyAlignment="1">
      <alignment vertical="center" wrapText="1"/>
    </xf>
    <xf numFmtId="49" fontId="10" fillId="0" borderId="1" xfId="6" applyNumberFormat="1" applyFont="1" applyFill="1" applyBorder="1" applyAlignment="1">
      <alignment vertical="center" wrapText="1"/>
    </xf>
    <xf numFmtId="49" fontId="10" fillId="0" borderId="25" xfId="6" applyNumberFormat="1" applyFont="1" applyFill="1" applyBorder="1" applyAlignment="1">
      <alignment vertical="center" wrapText="1"/>
    </xf>
    <xf numFmtId="49" fontId="18" fillId="0" borderId="31" xfId="6" applyNumberFormat="1" applyFont="1" applyFill="1" applyBorder="1" applyAlignment="1">
      <alignment horizontal="center" vertical="center" wrapText="1"/>
    </xf>
    <xf numFmtId="49" fontId="18" fillId="0" borderId="32" xfId="6" applyNumberFormat="1" applyFont="1" applyFill="1" applyBorder="1" applyAlignment="1">
      <alignment horizontal="center" vertical="center" wrapText="1"/>
    </xf>
    <xf numFmtId="49" fontId="18" fillId="0" borderId="35" xfId="6" applyNumberFormat="1" applyFont="1" applyFill="1" applyBorder="1" applyAlignment="1">
      <alignment horizontal="center" vertical="center" wrapText="1"/>
    </xf>
    <xf numFmtId="49" fontId="10" fillId="0" borderId="36" xfId="0" applyNumberFormat="1" applyFont="1" applyFill="1" applyBorder="1" applyAlignment="1">
      <alignment horizontal="left" vertical="top" wrapText="1"/>
    </xf>
    <xf numFmtId="49" fontId="10" fillId="0" borderId="22" xfId="5" applyNumberFormat="1" applyFont="1" applyFill="1" applyBorder="1" applyAlignment="1">
      <alignment horizontal="left" wrapText="1"/>
    </xf>
    <xf numFmtId="49" fontId="10" fillId="0" borderId="1" xfId="5" applyNumberFormat="1" applyFont="1" applyFill="1" applyBorder="1" applyAlignment="1">
      <alignment horizontal="left" wrapText="1"/>
    </xf>
    <xf numFmtId="49" fontId="10" fillId="0" borderId="37" xfId="6" applyNumberFormat="1" applyFont="1" applyFill="1" applyBorder="1" applyAlignment="1">
      <alignment horizontal="center" vertical="center" wrapText="1"/>
    </xf>
    <xf numFmtId="49" fontId="10" fillId="0" borderId="26" xfId="5" applyNumberFormat="1" applyFont="1" applyFill="1" applyBorder="1" applyAlignment="1">
      <alignment horizontal="left" wrapText="1"/>
    </xf>
    <xf numFmtId="49" fontId="10" fillId="0" borderId="2" xfId="5" applyNumberFormat="1" applyFont="1" applyFill="1" applyBorder="1" applyAlignment="1">
      <alignment horizontal="left" wrapText="1"/>
    </xf>
    <xf numFmtId="49" fontId="22" fillId="0" borderId="45" xfId="0" applyNumberFormat="1" applyFont="1" applyFill="1" applyBorder="1" applyAlignment="1">
      <alignment horizontal="left" vertical="top" wrapText="1"/>
    </xf>
    <xf numFmtId="49" fontId="23" fillId="0" borderId="46" xfId="0" applyNumberFormat="1" applyFont="1" applyFill="1" applyBorder="1" applyAlignment="1">
      <alignment horizontal="left" vertical="top" wrapText="1"/>
    </xf>
    <xf numFmtId="49" fontId="23" fillId="0" borderId="46" xfId="7" applyNumberFormat="1" applyFont="1" applyFill="1" applyBorder="1" applyAlignment="1">
      <alignment horizontal="left" vertical="top" wrapText="1"/>
    </xf>
    <xf numFmtId="49" fontId="23" fillId="0" borderId="47" xfId="7" applyNumberFormat="1" applyFont="1" applyFill="1" applyBorder="1" applyAlignment="1">
      <alignment horizontal="left" vertical="top" wrapText="1"/>
    </xf>
    <xf numFmtId="49" fontId="23" fillId="0" borderId="52" xfId="0" applyNumberFormat="1" applyFont="1" applyFill="1" applyBorder="1" applyAlignment="1">
      <alignment horizontal="left" vertical="top" wrapText="1"/>
    </xf>
    <xf numFmtId="49" fontId="4" fillId="0" borderId="48" xfId="6" applyNumberFormat="1" applyFont="1" applyFill="1" applyBorder="1" applyAlignment="1">
      <alignment horizontal="center" vertical="center" wrapText="1"/>
    </xf>
    <xf numFmtId="49" fontId="23" fillId="0" borderId="47" xfId="5" applyNumberFormat="1" applyFont="1" applyFill="1" applyBorder="1" applyAlignment="1">
      <alignment horizontal="left" wrapText="1"/>
    </xf>
    <xf numFmtId="49" fontId="23" fillId="0" borderId="47" xfId="5" applyNumberFormat="1" applyFont="1" applyFill="1" applyBorder="1" applyAlignment="1">
      <alignment horizontal="left" vertical="center" wrapText="1"/>
    </xf>
    <xf numFmtId="49" fontId="23" fillId="0" borderId="46" xfId="5" applyNumberFormat="1" applyFont="1" applyFill="1" applyBorder="1" applyAlignment="1">
      <alignment horizontal="left" wrapText="1"/>
    </xf>
    <xf numFmtId="49" fontId="23" fillId="0" borderId="59" xfId="0" applyNumberFormat="1" applyFont="1" applyFill="1" applyBorder="1" applyAlignment="1">
      <alignment horizontal="left" vertical="top" wrapText="1"/>
    </xf>
    <xf numFmtId="49" fontId="23" fillId="0" borderId="60" xfId="0" applyNumberFormat="1" applyFont="1" applyFill="1" applyBorder="1" applyAlignment="1">
      <alignment horizontal="left" vertical="top" wrapText="1"/>
    </xf>
    <xf numFmtId="49" fontId="23" fillId="0" borderId="61" xfId="7" applyNumberFormat="1" applyFont="1" applyFill="1" applyBorder="1" applyAlignment="1">
      <alignment horizontal="left" vertical="top" wrapText="1"/>
    </xf>
    <xf numFmtId="49" fontId="23" fillId="0" borderId="61" xfId="7" applyNumberFormat="1" applyFont="1" applyFill="1" applyBorder="1" applyAlignment="1">
      <alignment horizontal="left" vertical="center" wrapText="1"/>
    </xf>
    <xf numFmtId="49" fontId="2" fillId="0" borderId="61" xfId="1" applyNumberFormat="1" applyFill="1" applyBorder="1" applyAlignment="1" applyProtection="1">
      <alignment horizontal="left" vertical="center" wrapText="1"/>
    </xf>
    <xf numFmtId="49" fontId="24" fillId="0" borderId="61" xfId="7" applyNumberFormat="1" applyFont="1" applyFill="1" applyBorder="1" applyAlignment="1">
      <alignment horizontal="left" vertical="center" wrapText="1"/>
    </xf>
    <xf numFmtId="49" fontId="2" fillId="0" borderId="46" xfId="1" applyNumberFormat="1" applyFill="1" applyBorder="1" applyAlignment="1" applyProtection="1">
      <alignment horizontal="left" vertical="top" wrapText="1"/>
    </xf>
    <xf numFmtId="49" fontId="24" fillId="0" borderId="46" xfId="7" applyNumberFormat="1" applyFont="1" applyFill="1" applyBorder="1" applyAlignment="1">
      <alignment horizontal="left" vertical="top" wrapText="1"/>
    </xf>
    <xf numFmtId="49" fontId="23" fillId="0" borderId="47" xfId="7" applyNumberFormat="1" applyFont="1" applyFill="1" applyBorder="1" applyAlignment="1">
      <alignment horizontal="left" vertical="center" wrapText="1"/>
    </xf>
    <xf numFmtId="49" fontId="23" fillId="0" borderId="46" xfId="7" applyNumberFormat="1" applyFont="1" applyFill="1" applyBorder="1" applyAlignment="1">
      <alignment horizontal="left" vertical="center" wrapText="1"/>
    </xf>
    <xf numFmtId="49" fontId="23" fillId="0" borderId="69" xfId="5" applyNumberFormat="1" applyFont="1" applyFill="1" applyBorder="1" applyAlignment="1">
      <alignment horizontal="left" wrapText="1"/>
    </xf>
    <xf numFmtId="49" fontId="23" fillId="0" borderId="70" xfId="5" applyNumberFormat="1" applyFont="1" applyFill="1" applyBorder="1" applyAlignment="1">
      <alignment horizontal="left" wrapText="1"/>
    </xf>
    <xf numFmtId="49" fontId="22" fillId="0" borderId="47" xfId="5" applyNumberFormat="1" applyFont="1" applyFill="1" applyBorder="1" applyAlignment="1">
      <alignment horizontal="left" vertical="center" wrapText="1"/>
    </xf>
    <xf numFmtId="49" fontId="22" fillId="0" borderId="46" xfId="5" applyNumberFormat="1" applyFont="1" applyFill="1" applyBorder="1" applyAlignment="1">
      <alignment horizontal="left" vertical="center" wrapText="1"/>
    </xf>
    <xf numFmtId="49" fontId="23" fillId="0" borderId="45" xfId="0" applyNumberFormat="1" applyFont="1" applyFill="1" applyBorder="1" applyAlignment="1">
      <alignment horizontal="left" vertical="top" wrapText="1"/>
    </xf>
    <xf numFmtId="49" fontId="22" fillId="0" borderId="47" xfId="7" applyNumberFormat="1" applyFont="1" applyFill="1" applyBorder="1" applyAlignment="1">
      <alignment horizontal="left" vertical="top" wrapText="1"/>
    </xf>
    <xf numFmtId="49" fontId="22" fillId="0" borderId="46" xfId="7" applyNumberFormat="1" applyFont="1" applyFill="1" applyBorder="1" applyAlignment="1">
      <alignment horizontal="left" vertical="top" wrapText="1"/>
    </xf>
  </cellXfs>
  <cellStyles count="9">
    <cellStyle name="Hyperlink" xfId="1" builtinId="8"/>
    <cellStyle name="Normal" xfId="0" builtinId="0"/>
    <cellStyle name="Normal_Program Check List1" xfId="7"/>
    <cellStyle name="Normal_Program Check List1 1" xfId="8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200"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3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6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0</xdr:rowOff>
    </xdr:from>
    <xdr:to>
      <xdr:col>16</xdr:col>
      <xdr:colOff>123825</xdr:colOff>
      <xdr:row>39</xdr:row>
      <xdr:rowOff>19050</xdr:rowOff>
    </xdr:to>
    <xdr:pic>
      <xdr:nvPicPr>
        <xdr:cNvPr id="1177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1028700"/>
          <a:ext cx="10410825" cy="56769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16</xdr:col>
      <xdr:colOff>266700</xdr:colOff>
      <xdr:row>85</xdr:row>
      <xdr:rowOff>114300</xdr:rowOff>
    </xdr:to>
    <xdr:pic>
      <xdr:nvPicPr>
        <xdr:cNvPr id="11776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85800" y="7372350"/>
          <a:ext cx="1055370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87</xdr:row>
      <xdr:rowOff>0</xdr:rowOff>
    </xdr:from>
    <xdr:to>
      <xdr:col>16</xdr:col>
      <xdr:colOff>209549</xdr:colOff>
      <xdr:row>129</xdr:row>
      <xdr:rowOff>114300</xdr:rowOff>
    </xdr:to>
    <xdr:pic>
      <xdr:nvPicPr>
        <xdr:cNvPr id="11776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5800" y="14916150"/>
          <a:ext cx="10496549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131</xdr:row>
      <xdr:rowOff>0</xdr:rowOff>
    </xdr:from>
    <xdr:to>
      <xdr:col>16</xdr:col>
      <xdr:colOff>361950</xdr:colOff>
      <xdr:row>173</xdr:row>
      <xdr:rowOff>114300</xdr:rowOff>
    </xdr:to>
    <xdr:pic>
      <xdr:nvPicPr>
        <xdr:cNvPr id="11776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85800" y="22459950"/>
          <a:ext cx="106489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177</xdr:row>
      <xdr:rowOff>0</xdr:rowOff>
    </xdr:from>
    <xdr:to>
      <xdr:col>16</xdr:col>
      <xdr:colOff>504825</xdr:colOff>
      <xdr:row>219</xdr:row>
      <xdr:rowOff>114300</xdr:rowOff>
    </xdr:to>
    <xdr:pic>
      <xdr:nvPicPr>
        <xdr:cNvPr id="117765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85800" y="30346650"/>
          <a:ext cx="10791825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221</xdr:row>
      <xdr:rowOff>0</xdr:rowOff>
    </xdr:from>
    <xdr:to>
      <xdr:col>16</xdr:col>
      <xdr:colOff>495300</xdr:colOff>
      <xdr:row>263</xdr:row>
      <xdr:rowOff>114300</xdr:rowOff>
    </xdr:to>
    <xdr:pic>
      <xdr:nvPicPr>
        <xdr:cNvPr id="117766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85800" y="37890450"/>
          <a:ext cx="1078230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267</xdr:row>
      <xdr:rowOff>0</xdr:rowOff>
    </xdr:from>
    <xdr:to>
      <xdr:col>16</xdr:col>
      <xdr:colOff>333375</xdr:colOff>
      <xdr:row>309</xdr:row>
      <xdr:rowOff>114300</xdr:rowOff>
    </xdr:to>
    <xdr:pic>
      <xdr:nvPicPr>
        <xdr:cNvPr id="117767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685800" y="45777150"/>
          <a:ext cx="10620375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</xdr:colOff>
      <xdr:row>311</xdr:row>
      <xdr:rowOff>0</xdr:rowOff>
    </xdr:from>
    <xdr:to>
      <xdr:col>16</xdr:col>
      <xdr:colOff>409575</xdr:colOff>
      <xdr:row>353</xdr:row>
      <xdr:rowOff>114300</xdr:rowOff>
    </xdr:to>
    <xdr:pic>
      <xdr:nvPicPr>
        <xdr:cNvPr id="117768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685801" y="53320950"/>
          <a:ext cx="10696574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ADI@12345" TargetMode="External"/><Relationship Id="rId1" Type="http://schemas.openxmlformats.org/officeDocument/2006/relationships/hyperlink" Target="mailto:122333@j%20(Invalid%20Password)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3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B13" sqref="B13:C13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122"/>
      <c r="C3" s="123"/>
      <c r="D3" s="124"/>
      <c r="E3" s="125"/>
      <c r="F3" s="125"/>
      <c r="G3" s="125"/>
      <c r="H3" s="125"/>
      <c r="I3" s="125"/>
      <c r="J3" s="126"/>
      <c r="K3" s="116">
        <f ca="1">IF($D3="",0,MAX(INDIRECT("'"&amp;$D3&amp;"'!$H3:$AZ3")))</f>
        <v>0</v>
      </c>
      <c r="L3" s="117"/>
      <c r="M3" s="117"/>
      <c r="N3" s="118"/>
      <c r="O3" s="122" t="str">
        <f ca="1">IF($D3="","",COUNTIF(INDIRECT("'"&amp;$D3&amp;"'!$H"&amp;ROW(INDIRECT("'"&amp;$D3&amp;"'!TestResult"))&amp;":$AZ"&amp;ROW(INDIRECT("'"&amp;$D3&amp;"'!TestResult"))),O$9))</f>
        <v/>
      </c>
      <c r="P3" s="127"/>
      <c r="Q3" s="123"/>
      <c r="R3" s="122" t="str">
        <f ca="1">IF($D3="","",COUNTIF(INDIRECT("'"&amp;$D3&amp;"'!$H"&amp;ROW(INDIRECT("'"&amp;$D3&amp;"'!TestResult"))&amp;":$AZ"&amp;ROW(INDIRECT("'"&amp;$D3&amp;"'!TestResult"))),R$9))</f>
        <v/>
      </c>
      <c r="S3" s="127"/>
      <c r="T3" s="123"/>
      <c r="U3" s="122" t="str">
        <f ca="1">IF($D3="","",COUNTIF(INDIRECT("'"&amp;$D3&amp;"'!$H"&amp;ROW(INDIRECT("'"&amp;$D3&amp;"'!TestResult"))&amp;":$AZ"&amp;ROW(INDIRECT("'"&amp;$D3&amp;"'!TestResult"))),U$9))</f>
        <v/>
      </c>
      <c r="V3" s="127"/>
      <c r="W3" s="123"/>
      <c r="X3" s="122" t="str">
        <f ca="1">IF($D3="","",COUNTIF(INDIRECT("'"&amp;$D3&amp;"'!$H"&amp;ROW(INDIRECT("'"&amp;$D3&amp;"'!TestResult"))&amp;":$AZ"&amp;ROW(INDIRECT("'"&amp;$D3&amp;"'!TestResult"))),X$9))</f>
        <v/>
      </c>
      <c r="Y3" s="127"/>
      <c r="Z3" s="123"/>
      <c r="AA3" s="116">
        <f ca="1">SUM(O3:Z3)</f>
        <v>0</v>
      </c>
      <c r="AB3" s="117"/>
      <c r="AC3" s="117"/>
      <c r="AD3" s="118"/>
      <c r="AE3" s="116">
        <f ca="1">K3-AA3</f>
        <v>0</v>
      </c>
      <c r="AF3" s="117"/>
      <c r="AG3" s="117"/>
      <c r="AH3" s="118"/>
      <c r="AI3" s="119" t="str">
        <f ca="1">IF($D3="","",SUM(INDIRECT("'"&amp;$D3&amp;"'!BugCount")))</f>
        <v/>
      </c>
      <c r="AJ3" s="120"/>
      <c r="AK3" s="120"/>
      <c r="AL3" s="121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28" t="s">
        <v>9</v>
      </c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30"/>
    </row>
    <row r="8" spans="1:38" ht="13.5" customHeight="1">
      <c r="B8" s="137"/>
      <c r="C8" s="138"/>
      <c r="D8" s="137"/>
      <c r="E8" s="139"/>
      <c r="F8" s="139"/>
      <c r="G8" s="139"/>
      <c r="H8" s="139"/>
      <c r="I8" s="139"/>
      <c r="J8" s="138"/>
      <c r="K8" s="161" t="s">
        <v>2</v>
      </c>
      <c r="L8" s="162"/>
      <c r="M8" s="162"/>
      <c r="N8" s="163"/>
      <c r="O8" s="164" t="s">
        <v>1</v>
      </c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6"/>
      <c r="AA8" s="161" t="s">
        <v>34</v>
      </c>
      <c r="AB8" s="162"/>
      <c r="AC8" s="162"/>
      <c r="AD8" s="163"/>
      <c r="AE8" s="161" t="s">
        <v>34</v>
      </c>
      <c r="AF8" s="162"/>
      <c r="AG8" s="162"/>
      <c r="AH8" s="163"/>
      <c r="AI8" s="158"/>
      <c r="AJ8" s="159"/>
      <c r="AK8" s="159"/>
      <c r="AL8" s="160"/>
    </row>
    <row r="9" spans="1:38" s="4" customFormat="1">
      <c r="B9" s="155" t="s">
        <v>16</v>
      </c>
      <c r="C9" s="156"/>
      <c r="D9" s="155" t="s">
        <v>17</v>
      </c>
      <c r="E9" s="157"/>
      <c r="F9" s="157"/>
      <c r="G9" s="157"/>
      <c r="H9" s="157"/>
      <c r="I9" s="157"/>
      <c r="J9" s="156"/>
      <c r="K9" s="134" t="s">
        <v>32</v>
      </c>
      <c r="L9" s="135"/>
      <c r="M9" s="135"/>
      <c r="N9" s="136"/>
      <c r="O9" s="131" t="s">
        <v>18</v>
      </c>
      <c r="P9" s="132"/>
      <c r="Q9" s="133"/>
      <c r="R9" s="131" t="s">
        <v>19</v>
      </c>
      <c r="S9" s="132"/>
      <c r="T9" s="133"/>
      <c r="U9" s="131" t="s">
        <v>20</v>
      </c>
      <c r="V9" s="132"/>
      <c r="W9" s="133"/>
      <c r="X9" s="131" t="s">
        <v>21</v>
      </c>
      <c r="Y9" s="132"/>
      <c r="Z9" s="133"/>
      <c r="AA9" s="134" t="s">
        <v>33</v>
      </c>
      <c r="AB9" s="135"/>
      <c r="AC9" s="135"/>
      <c r="AD9" s="136"/>
      <c r="AE9" s="134" t="s">
        <v>35</v>
      </c>
      <c r="AF9" s="135"/>
      <c r="AG9" s="135"/>
      <c r="AH9" s="136"/>
      <c r="AI9" s="140" t="s">
        <v>36</v>
      </c>
      <c r="AJ9" s="141"/>
      <c r="AK9" s="141"/>
      <c r="AL9" s="142"/>
    </row>
    <row r="10" spans="1:38" s="4" customFormat="1">
      <c r="B10" s="122">
        <v>1</v>
      </c>
      <c r="C10" s="123"/>
      <c r="D10" s="124" t="s">
        <v>63</v>
      </c>
      <c r="E10" s="125"/>
      <c r="F10" s="125"/>
      <c r="G10" s="125"/>
      <c r="H10" s="125"/>
      <c r="I10" s="125"/>
      <c r="J10" s="126"/>
      <c r="K10" s="116">
        <f ca="1">IF($D10="",0,MAX(INDIRECT("'"&amp;$D10&amp;"'!$H3:$AZ3")))</f>
        <v>7</v>
      </c>
      <c r="L10" s="117"/>
      <c r="M10" s="117"/>
      <c r="N10" s="118"/>
      <c r="O10" s="122">
        <f ca="1">IF($D10="","",COUNTIF(INDIRECT("'"&amp;$D10&amp;"'!$H"&amp;ROW(INDIRECT("'"&amp;$D10&amp;"'!TestResult"))&amp;":$AZ"&amp;ROW(INDIRECT("'"&amp;$D10&amp;"'!TestResult"))),O$9))</f>
        <v>7</v>
      </c>
      <c r="P10" s="127"/>
      <c r="Q10" s="123"/>
      <c r="R10" s="122">
        <f ca="1">IF($D10="","",COUNTIF(INDIRECT("'"&amp;$D10&amp;"'!$H"&amp;ROW(INDIRECT("'"&amp;$D10&amp;"'!TestResult"))&amp;":$AZ"&amp;ROW(INDIRECT("'"&amp;$D10&amp;"'!TestResult"))),R$9))</f>
        <v>0</v>
      </c>
      <c r="S10" s="127"/>
      <c r="T10" s="123"/>
      <c r="U10" s="122">
        <f ca="1">IF($D10="","",COUNTIF(INDIRECT("'"&amp;$D10&amp;"'!$H"&amp;ROW(INDIRECT("'"&amp;$D10&amp;"'!TestResult"))&amp;":$AZ"&amp;ROW(INDIRECT("'"&amp;$D10&amp;"'!TestResult"))),U$9))</f>
        <v>0</v>
      </c>
      <c r="V10" s="127"/>
      <c r="W10" s="123"/>
      <c r="X10" s="122">
        <f ca="1">IF($D10="","",COUNTIF(INDIRECT("'"&amp;$D10&amp;"'!$H"&amp;ROW(INDIRECT("'"&amp;$D10&amp;"'!TestResult"))&amp;":$AZ"&amp;ROW(INDIRECT("'"&amp;$D10&amp;"'!TestResult"))),X$9))</f>
        <v>0</v>
      </c>
      <c r="Y10" s="127"/>
      <c r="Z10" s="123"/>
      <c r="AA10" s="116">
        <f ca="1">SUM(O10:Z10)</f>
        <v>7</v>
      </c>
      <c r="AB10" s="117"/>
      <c r="AC10" s="117"/>
      <c r="AD10" s="118"/>
      <c r="AE10" s="116">
        <f ca="1">K10-AA10</f>
        <v>0</v>
      </c>
      <c r="AF10" s="117"/>
      <c r="AG10" s="117"/>
      <c r="AH10" s="118"/>
      <c r="AI10" s="119">
        <f ca="1">IF($D10="","",SUM(INDIRECT("'"&amp;$D10&amp;"'!BugCount")))</f>
        <v>0</v>
      </c>
      <c r="AJ10" s="120"/>
      <c r="AK10" s="120"/>
      <c r="AL10" s="121"/>
    </row>
    <row r="11" spans="1:38" s="4" customFormat="1">
      <c r="B11" s="122">
        <v>2</v>
      </c>
      <c r="C11" s="123"/>
      <c r="D11" s="124" t="s">
        <v>98</v>
      </c>
      <c r="E11" s="125"/>
      <c r="F11" s="125"/>
      <c r="G11" s="125"/>
      <c r="H11" s="125"/>
      <c r="I11" s="125"/>
      <c r="J11" s="126"/>
      <c r="K11" s="116">
        <f ca="1">IF($D11="",0,MAX(INDIRECT("'"&amp;$D11&amp;"'!$H3:$AZ3")))</f>
        <v>8</v>
      </c>
      <c r="L11" s="117"/>
      <c r="M11" s="117"/>
      <c r="N11" s="118"/>
      <c r="O11" s="122">
        <f ca="1">IF($D11="","",COUNTIF(INDIRECT("'"&amp;$D11&amp;"'!$H"&amp;ROW(INDIRECT("'"&amp;$D11&amp;"'!TestResult"))&amp;":$AZ"&amp;ROW(INDIRECT("'"&amp;$D11&amp;"'!TestResult"))),O$9))</f>
        <v>8</v>
      </c>
      <c r="P11" s="127"/>
      <c r="Q11" s="123"/>
      <c r="R11" s="122">
        <f ca="1">IF($D11="","",COUNTIF(INDIRECT("'"&amp;$D11&amp;"'!$H"&amp;ROW(INDIRECT("'"&amp;$D11&amp;"'!TestResult"))&amp;":$AZ"&amp;ROW(INDIRECT("'"&amp;$D11&amp;"'!TestResult"))),R$9))</f>
        <v>0</v>
      </c>
      <c r="S11" s="127"/>
      <c r="T11" s="123"/>
      <c r="U11" s="122">
        <f ca="1">IF($D11="","",COUNTIF(INDIRECT("'"&amp;$D11&amp;"'!$H"&amp;ROW(INDIRECT("'"&amp;$D11&amp;"'!TestResult"))&amp;":$AZ"&amp;ROW(INDIRECT("'"&amp;$D11&amp;"'!TestResult"))),U$9))</f>
        <v>0</v>
      </c>
      <c r="V11" s="127"/>
      <c r="W11" s="123"/>
      <c r="X11" s="122">
        <f ca="1">IF($D11="","",COUNTIF(INDIRECT("'"&amp;$D11&amp;"'!$H"&amp;ROW(INDIRECT("'"&amp;$D11&amp;"'!TestResult"))&amp;":$AZ"&amp;ROW(INDIRECT("'"&amp;$D11&amp;"'!TestResult"))),X$9))</f>
        <v>0</v>
      </c>
      <c r="Y11" s="127"/>
      <c r="Z11" s="123"/>
      <c r="AA11" s="116">
        <f ca="1">SUM(O11:Z11)</f>
        <v>8</v>
      </c>
      <c r="AB11" s="117"/>
      <c r="AC11" s="117"/>
      <c r="AD11" s="118"/>
      <c r="AE11" s="116">
        <f ca="1">K11-AA11</f>
        <v>0</v>
      </c>
      <c r="AF11" s="117"/>
      <c r="AG11" s="117"/>
      <c r="AH11" s="118"/>
      <c r="AI11" s="119">
        <f ca="1">IF($D11="","",SUM(INDIRECT("'"&amp;$D11&amp;"'!BugCount")))</f>
        <v>0</v>
      </c>
      <c r="AJ11" s="120"/>
      <c r="AK11" s="120"/>
      <c r="AL11" s="121"/>
    </row>
    <row r="12" spans="1:38" s="4" customFormat="1">
      <c r="B12" s="122">
        <v>3</v>
      </c>
      <c r="C12" s="123"/>
      <c r="D12" s="124" t="s">
        <v>125</v>
      </c>
      <c r="E12" s="125"/>
      <c r="F12" s="125"/>
      <c r="G12" s="125"/>
      <c r="H12" s="125"/>
      <c r="I12" s="125"/>
      <c r="J12" s="126"/>
      <c r="K12" s="116">
        <f ca="1">IF($D12="",0,MAX(INDIRECT("'"&amp;$D12&amp;"'!$H3:$AZ3")))</f>
        <v>1</v>
      </c>
      <c r="L12" s="117"/>
      <c r="M12" s="117"/>
      <c r="N12" s="118"/>
      <c r="O12" s="122">
        <f ca="1">IF($D12="","",COUNTIF(INDIRECT("'"&amp;$D12&amp;"'!$H"&amp;ROW(INDIRECT("'"&amp;$D12&amp;"'!TestResult"))&amp;":$AZ"&amp;ROW(INDIRECT("'"&amp;$D12&amp;"'!TestResult"))),O$9))</f>
        <v>1</v>
      </c>
      <c r="P12" s="127"/>
      <c r="Q12" s="123"/>
      <c r="R12" s="122">
        <f ca="1">IF($D12="","",COUNTIF(INDIRECT("'"&amp;$D12&amp;"'!$H"&amp;ROW(INDIRECT("'"&amp;$D12&amp;"'!TestResult"))&amp;":$AZ"&amp;ROW(INDIRECT("'"&amp;$D12&amp;"'!TestResult"))),R$9))</f>
        <v>0</v>
      </c>
      <c r="S12" s="127"/>
      <c r="T12" s="123"/>
      <c r="U12" s="122">
        <f ca="1">IF($D12="","",COUNTIF(INDIRECT("'"&amp;$D12&amp;"'!$H"&amp;ROW(INDIRECT("'"&amp;$D12&amp;"'!TestResult"))&amp;":$AZ"&amp;ROW(INDIRECT("'"&amp;$D12&amp;"'!TestResult"))),U$9))</f>
        <v>0</v>
      </c>
      <c r="V12" s="127"/>
      <c r="W12" s="123"/>
      <c r="X12" s="122">
        <f ca="1">IF($D12="","",COUNTIF(INDIRECT("'"&amp;$D12&amp;"'!$H"&amp;ROW(INDIRECT("'"&amp;$D12&amp;"'!TestResult"))&amp;":$AZ"&amp;ROW(INDIRECT("'"&amp;$D12&amp;"'!TestResult"))),X$9))</f>
        <v>0</v>
      </c>
      <c r="Y12" s="127"/>
      <c r="Z12" s="123"/>
      <c r="AA12" s="116">
        <f ca="1">SUM(O12:Z12)</f>
        <v>1</v>
      </c>
      <c r="AB12" s="117"/>
      <c r="AC12" s="117"/>
      <c r="AD12" s="118"/>
      <c r="AE12" s="116">
        <f ca="1">K12-AA12</f>
        <v>0</v>
      </c>
      <c r="AF12" s="117"/>
      <c r="AG12" s="117"/>
      <c r="AH12" s="118"/>
      <c r="AI12" s="119">
        <f ca="1">IF($D12="","",SUM(INDIRECT("'"&amp;$D12&amp;"'!BugCount")))</f>
        <v>0</v>
      </c>
      <c r="AJ12" s="120"/>
      <c r="AK12" s="120"/>
      <c r="AL12" s="121"/>
    </row>
    <row r="13" spans="1:38" s="4" customFormat="1">
      <c r="B13" s="122">
        <v>4</v>
      </c>
      <c r="C13" s="123"/>
      <c r="D13" s="124" t="s">
        <v>138</v>
      </c>
      <c r="E13" s="125"/>
      <c r="F13" s="125"/>
      <c r="G13" s="125"/>
      <c r="H13" s="125"/>
      <c r="I13" s="125"/>
      <c r="J13" s="126"/>
      <c r="K13" s="116">
        <f ca="1">IF($D13="",0,MAX(INDIRECT("'"&amp;$D13&amp;"'!$H3:$AZ3")))</f>
        <v>1</v>
      </c>
      <c r="L13" s="117"/>
      <c r="M13" s="117"/>
      <c r="N13" s="118"/>
      <c r="O13" s="122">
        <f ca="1">IF($D13="","",COUNTIF(INDIRECT("'"&amp;$D13&amp;"'!$H"&amp;ROW(INDIRECT("'"&amp;$D13&amp;"'!TestResult"))&amp;":$AZ"&amp;ROW(INDIRECT("'"&amp;$D13&amp;"'!TestResult"))),O$9))</f>
        <v>1</v>
      </c>
      <c r="P13" s="127"/>
      <c r="Q13" s="123"/>
      <c r="R13" s="122">
        <f ca="1">IF($D13="","",COUNTIF(INDIRECT("'"&amp;$D13&amp;"'!$H"&amp;ROW(INDIRECT("'"&amp;$D13&amp;"'!TestResult"))&amp;":$AZ"&amp;ROW(INDIRECT("'"&amp;$D13&amp;"'!TestResult"))),R$9))</f>
        <v>0</v>
      </c>
      <c r="S13" s="127"/>
      <c r="T13" s="123"/>
      <c r="U13" s="122">
        <f ca="1">IF($D13="","",COUNTIF(INDIRECT("'"&amp;$D13&amp;"'!$H"&amp;ROW(INDIRECT("'"&amp;$D13&amp;"'!TestResult"))&amp;":$AZ"&amp;ROW(INDIRECT("'"&amp;$D13&amp;"'!TestResult"))),U$9))</f>
        <v>0</v>
      </c>
      <c r="V13" s="127"/>
      <c r="W13" s="123"/>
      <c r="X13" s="122">
        <f ca="1">IF($D13="","",COUNTIF(INDIRECT("'"&amp;$D13&amp;"'!$H"&amp;ROW(INDIRECT("'"&amp;$D13&amp;"'!TestResult"))&amp;":$AZ"&amp;ROW(INDIRECT("'"&amp;$D13&amp;"'!TestResult"))),X$9))</f>
        <v>0</v>
      </c>
      <c r="Y13" s="127"/>
      <c r="Z13" s="123"/>
      <c r="AA13" s="116">
        <f ca="1">SUM(O13:Z13)</f>
        <v>1</v>
      </c>
      <c r="AB13" s="117"/>
      <c r="AC13" s="117"/>
      <c r="AD13" s="118"/>
      <c r="AE13" s="116">
        <f ca="1">K13-AA13</f>
        <v>0</v>
      </c>
      <c r="AF13" s="117"/>
      <c r="AG13" s="117"/>
      <c r="AH13" s="118"/>
      <c r="AI13" s="119">
        <f ca="1">IF($D13="","",SUM(INDIRECT("'"&amp;$D13&amp;"'!BugCount")))</f>
        <v>0</v>
      </c>
      <c r="AJ13" s="120"/>
      <c r="AK13" s="120"/>
      <c r="AL13" s="121"/>
    </row>
    <row r="14" spans="1:38" s="8" customFormat="1" ht="20.25">
      <c r="B14" s="5"/>
      <c r="C14" s="5"/>
      <c r="D14" s="6"/>
      <c r="E14" s="52"/>
      <c r="F14" s="52"/>
      <c r="G14" s="52"/>
      <c r="H14" s="52"/>
      <c r="I14" s="52"/>
      <c r="J14" s="52"/>
      <c r="K14" s="7"/>
      <c r="L14" s="7"/>
      <c r="M14" s="7"/>
      <c r="N14" s="7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7"/>
      <c r="AG14" s="7"/>
      <c r="AH14" s="7"/>
      <c r="AI14" s="7"/>
      <c r="AJ14" s="7"/>
      <c r="AK14" s="7"/>
      <c r="AL14" s="7"/>
    </row>
    <row r="15" spans="1:38" s="4" customFormat="1">
      <c r="A15" s="4" t="s">
        <v>49</v>
      </c>
      <c r="B15" s="152" t="s">
        <v>2</v>
      </c>
      <c r="C15" s="153"/>
      <c r="D15" s="153"/>
      <c r="E15" s="153"/>
      <c r="F15" s="153"/>
      <c r="G15" s="153"/>
      <c r="H15" s="153"/>
      <c r="I15" s="153"/>
      <c r="J15" s="154"/>
      <c r="K15" s="143">
        <f ca="1">SUBTOTAL(9,K9:K14)</f>
        <v>17</v>
      </c>
      <c r="L15" s="144"/>
      <c r="M15" s="144"/>
      <c r="N15" s="145"/>
      <c r="O15" s="149">
        <f ca="1">SUBTOTAL(9,O9:O14)</f>
        <v>17</v>
      </c>
      <c r="P15" s="150"/>
      <c r="Q15" s="151"/>
      <c r="R15" s="149">
        <f ca="1">SUBTOTAL(9,R9:R14)</f>
        <v>0</v>
      </c>
      <c r="S15" s="150"/>
      <c r="T15" s="151"/>
      <c r="U15" s="149">
        <f ca="1">SUBTOTAL(9,U9:U14)</f>
        <v>0</v>
      </c>
      <c r="V15" s="150"/>
      <c r="W15" s="151"/>
      <c r="X15" s="149">
        <f ca="1">SUBTOTAL(9,X9:X14)</f>
        <v>0</v>
      </c>
      <c r="Y15" s="150"/>
      <c r="Z15" s="151"/>
      <c r="AA15" s="149">
        <f ca="1">SUBTOTAL(9,AA9:AA14)</f>
        <v>17</v>
      </c>
      <c r="AB15" s="150"/>
      <c r="AC15" s="150"/>
      <c r="AD15" s="151"/>
      <c r="AE15" s="149">
        <f ca="1">SUBTOTAL(9,AE9:AE14)</f>
        <v>0</v>
      </c>
      <c r="AF15" s="150"/>
      <c r="AG15" s="150"/>
      <c r="AH15" s="151"/>
      <c r="AI15" s="143">
        <f ca="1">SUBTOTAL(9,AI9:AI14)</f>
        <v>0</v>
      </c>
      <c r="AJ15" s="144"/>
      <c r="AK15" s="144"/>
      <c r="AL15" s="145"/>
    </row>
    <row r="16" spans="1:38" s="4" customFormat="1" ht="12.75" customHeight="1">
      <c r="B16" s="152" t="s">
        <v>3</v>
      </c>
      <c r="C16" s="153"/>
      <c r="D16" s="153"/>
      <c r="E16" s="153"/>
      <c r="F16" s="153"/>
      <c r="G16" s="153"/>
      <c r="H16" s="153"/>
      <c r="I16" s="153"/>
      <c r="J16" s="154"/>
      <c r="K16" s="146"/>
      <c r="L16" s="147"/>
      <c r="M16" s="147"/>
      <c r="N16" s="148"/>
      <c r="O16" s="113">
        <f ca="1">IF(ISERR(O15/$K$15),0,O15/$K$15)</f>
        <v>1</v>
      </c>
      <c r="P16" s="114"/>
      <c r="Q16" s="115"/>
      <c r="R16" s="113">
        <f ca="1">IF(ISERR(R15/$K$15),0,R15/$K$15)</f>
        <v>0</v>
      </c>
      <c r="S16" s="114"/>
      <c r="T16" s="115"/>
      <c r="U16" s="113">
        <f ca="1">IF(ISERR(U15/$K$15),0,U15/$K$15)</f>
        <v>0</v>
      </c>
      <c r="V16" s="114"/>
      <c r="W16" s="115"/>
      <c r="X16" s="113">
        <f ca="1">IF(ISERR(X15/$K$15),0,X15/$K$15)</f>
        <v>0</v>
      </c>
      <c r="Y16" s="114"/>
      <c r="Z16" s="115"/>
      <c r="AA16" s="113">
        <f ca="1">IF(ISERR(AA15/$K$15),0,AA15/$K$15)</f>
        <v>1</v>
      </c>
      <c r="AB16" s="114"/>
      <c r="AC16" s="114"/>
      <c r="AD16" s="115"/>
      <c r="AE16" s="113">
        <f ca="1">IF(ISERR(AE15/$K$15),0,AE15/$K$15)</f>
        <v>0</v>
      </c>
      <c r="AF16" s="114"/>
      <c r="AG16" s="114"/>
      <c r="AH16" s="115"/>
      <c r="AI16" s="146"/>
      <c r="AJ16" s="147"/>
      <c r="AK16" s="147"/>
      <c r="AL16" s="148"/>
    </row>
    <row r="32" spans="2:15" ht="15" customHeight="1">
      <c r="B32" s="112" t="s">
        <v>56</v>
      </c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</row>
    <row r="33" spans="2:15"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85">
    <mergeCell ref="AE13:AH13"/>
    <mergeCell ref="AI13:AL13"/>
    <mergeCell ref="B13:C13"/>
    <mergeCell ref="D13:J13"/>
    <mergeCell ref="K13:N13"/>
    <mergeCell ref="O13:Q13"/>
    <mergeCell ref="R13:T13"/>
    <mergeCell ref="AE11:AH11"/>
    <mergeCell ref="AI11:AL11"/>
    <mergeCell ref="U12:W12"/>
    <mergeCell ref="X12:Z12"/>
    <mergeCell ref="AA12:AD12"/>
    <mergeCell ref="AE12:AH12"/>
    <mergeCell ref="AI12:AL12"/>
    <mergeCell ref="X15:Z15"/>
    <mergeCell ref="U10:W10"/>
    <mergeCell ref="U15:W15"/>
    <mergeCell ref="AA10:AD10"/>
    <mergeCell ref="AA15:AD15"/>
    <mergeCell ref="U11:W11"/>
    <mergeCell ref="X11:Z11"/>
    <mergeCell ref="AA11:AD11"/>
    <mergeCell ref="U13:W13"/>
    <mergeCell ref="X13:Z13"/>
    <mergeCell ref="AA13:AD13"/>
    <mergeCell ref="B9:C9"/>
    <mergeCell ref="D9:J9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K10:N10"/>
    <mergeCell ref="R10:T10"/>
    <mergeCell ref="R15:T15"/>
    <mergeCell ref="B15:J15"/>
    <mergeCell ref="B16:J16"/>
    <mergeCell ref="B10:C10"/>
    <mergeCell ref="B11:C11"/>
    <mergeCell ref="D11:J11"/>
    <mergeCell ref="K11:N11"/>
    <mergeCell ref="O11:Q11"/>
    <mergeCell ref="R11:T11"/>
    <mergeCell ref="B12:C12"/>
    <mergeCell ref="D12:J12"/>
    <mergeCell ref="K12:N12"/>
    <mergeCell ref="O12:Q12"/>
    <mergeCell ref="R12:T12"/>
    <mergeCell ref="D10:J10"/>
    <mergeCell ref="B8:C8"/>
    <mergeCell ref="D8:J8"/>
    <mergeCell ref="AI9:AL9"/>
    <mergeCell ref="AI15:AL16"/>
    <mergeCell ref="AE10:AH10"/>
    <mergeCell ref="AE15:AH15"/>
    <mergeCell ref="AE16:AH16"/>
    <mergeCell ref="R16:T16"/>
    <mergeCell ref="AA16:AD16"/>
    <mergeCell ref="X10:Z10"/>
    <mergeCell ref="X16:Z16"/>
    <mergeCell ref="K15:N16"/>
    <mergeCell ref="O10:Q10"/>
    <mergeCell ref="O15:Q15"/>
    <mergeCell ref="O16:Q16"/>
    <mergeCell ref="B32:O33"/>
    <mergeCell ref="U16:W16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</mergeCells>
  <phoneticPr fontId="3"/>
  <conditionalFormatting sqref="K14:AL14 K4:AL4 AI3:AL3 K3:AE3 AI10:AL13 K10:AE13">
    <cfRule type="cellIs" dxfId="100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76" t="s">
        <v>8</v>
      </c>
      <c r="C1" s="177"/>
      <c r="D1" s="177"/>
      <c r="E1" s="178"/>
      <c r="F1" s="176" t="s">
        <v>6</v>
      </c>
      <c r="G1" s="177"/>
      <c r="H1" s="177"/>
      <c r="I1" s="177"/>
      <c r="J1" s="177"/>
      <c r="K1" s="177"/>
      <c r="L1" s="177"/>
      <c r="M1" s="177"/>
      <c r="N1" s="177"/>
      <c r="O1" s="178"/>
      <c r="P1" s="187" t="s">
        <v>0</v>
      </c>
      <c r="Q1" s="188"/>
      <c r="R1" s="188"/>
      <c r="S1" s="189"/>
      <c r="T1" s="176" t="s">
        <v>10</v>
      </c>
      <c r="U1" s="177"/>
      <c r="V1" s="177"/>
      <c r="W1" s="177"/>
      <c r="X1" s="177"/>
      <c r="Y1" s="177"/>
      <c r="Z1" s="178"/>
      <c r="AA1" s="179" t="s">
        <v>11</v>
      </c>
      <c r="AB1" s="179"/>
      <c r="AC1" s="180"/>
      <c r="AD1" s="180"/>
      <c r="AE1" s="180"/>
      <c r="AF1" s="181"/>
    </row>
    <row r="2" spans="1:32" ht="20.100000000000001" customHeight="1" thickBot="1">
      <c r="A2" s="64" t="s">
        <v>4</v>
      </c>
      <c r="B2" s="182" t="s">
        <v>8</v>
      </c>
      <c r="C2" s="183"/>
      <c r="D2" s="183"/>
      <c r="E2" s="184"/>
      <c r="F2" s="182" t="s">
        <v>7</v>
      </c>
      <c r="G2" s="183"/>
      <c r="H2" s="184"/>
      <c r="I2" s="172" t="s">
        <v>12</v>
      </c>
      <c r="J2" s="173"/>
      <c r="K2" s="173"/>
      <c r="L2" s="173"/>
      <c r="M2" s="173"/>
      <c r="N2" s="173"/>
      <c r="O2" s="174"/>
      <c r="P2" s="182"/>
      <c r="Q2" s="183"/>
      <c r="R2" s="183"/>
      <c r="S2" s="183"/>
      <c r="T2" s="183"/>
      <c r="U2" s="183"/>
      <c r="V2" s="183"/>
      <c r="W2" s="183"/>
      <c r="X2" s="183"/>
      <c r="Y2" s="183"/>
      <c r="Z2" s="184"/>
      <c r="AA2" s="185" t="s">
        <v>13</v>
      </c>
      <c r="AB2" s="186"/>
      <c r="AC2" s="182" t="s">
        <v>14</v>
      </c>
      <c r="AD2" s="183"/>
      <c r="AE2" s="183"/>
      <c r="AF2" s="190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91" t="s">
        <v>52</v>
      </c>
      <c r="B4" s="193" t="s">
        <v>22</v>
      </c>
      <c r="C4" s="193"/>
      <c r="D4" s="193"/>
      <c r="E4" s="193"/>
      <c r="F4" s="193"/>
      <c r="G4" s="193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92"/>
      <c r="B5" s="194" t="s">
        <v>23</v>
      </c>
      <c r="C5" s="195"/>
      <c r="D5" s="195"/>
      <c r="E5" s="195"/>
      <c r="F5" s="195"/>
      <c r="G5" s="195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92"/>
      <c r="B6" s="21"/>
      <c r="C6" s="196" t="s">
        <v>24</v>
      </c>
      <c r="D6" s="197"/>
      <c r="E6" s="197"/>
      <c r="F6" s="197"/>
      <c r="G6" s="197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92"/>
      <c r="B7" s="21"/>
      <c r="C7" s="198"/>
      <c r="D7" s="194"/>
      <c r="E7" s="197"/>
      <c r="F7" s="197"/>
      <c r="G7" s="197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92"/>
      <c r="B8" s="21"/>
      <c r="C8" s="198"/>
      <c r="D8" s="194"/>
      <c r="E8" s="197"/>
      <c r="F8" s="197"/>
      <c r="G8" s="197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92"/>
      <c r="B9" s="21"/>
      <c r="C9" s="199" t="s">
        <v>25</v>
      </c>
      <c r="D9" s="197"/>
      <c r="E9" s="197"/>
      <c r="F9" s="197"/>
      <c r="G9" s="197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92"/>
      <c r="B10" s="21"/>
      <c r="C10" s="198"/>
      <c r="D10" s="194"/>
      <c r="E10" s="197"/>
      <c r="F10" s="197"/>
      <c r="G10" s="197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92"/>
      <c r="B11" s="21"/>
      <c r="C11" s="198"/>
      <c r="D11" s="194"/>
      <c r="E11" s="197"/>
      <c r="F11" s="197"/>
      <c r="G11" s="197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92"/>
      <c r="B12" s="21"/>
      <c r="C12" s="194"/>
      <c r="D12" s="197"/>
      <c r="E12" s="197"/>
      <c r="F12" s="197"/>
      <c r="G12" s="197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92"/>
      <c r="B13" s="21"/>
      <c r="C13" s="198"/>
      <c r="D13" s="194"/>
      <c r="E13" s="197"/>
      <c r="F13" s="197"/>
      <c r="G13" s="197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92"/>
      <c r="B14" s="21"/>
      <c r="C14" s="198"/>
      <c r="D14" s="194"/>
      <c r="E14" s="197"/>
      <c r="F14" s="197"/>
      <c r="G14" s="197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8" t="s">
        <v>53</v>
      </c>
      <c r="B15" s="211" t="s">
        <v>26</v>
      </c>
      <c r="C15" s="193"/>
      <c r="D15" s="193"/>
      <c r="E15" s="193"/>
      <c r="F15" s="193"/>
      <c r="G15" s="193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09"/>
      <c r="B16" s="28"/>
      <c r="C16" s="212" t="s">
        <v>27</v>
      </c>
      <c r="D16" s="213"/>
      <c r="E16" s="213"/>
      <c r="F16" s="213"/>
      <c r="G16" s="213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9"/>
      <c r="B17" s="214"/>
      <c r="C17" s="212" t="s">
        <v>28</v>
      </c>
      <c r="D17" s="213"/>
      <c r="E17" s="213"/>
      <c r="F17" s="213"/>
      <c r="G17" s="213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9"/>
      <c r="B18" s="214"/>
      <c r="C18" s="212" t="s">
        <v>29</v>
      </c>
      <c r="D18" s="213"/>
      <c r="E18" s="213"/>
      <c r="F18" s="213"/>
      <c r="G18" s="213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9"/>
      <c r="B19" s="214"/>
      <c r="C19" s="212" t="s">
        <v>30</v>
      </c>
      <c r="D19" s="213"/>
      <c r="E19" s="213"/>
      <c r="F19" s="213"/>
      <c r="G19" s="213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9"/>
      <c r="B20" s="214"/>
      <c r="C20" s="212"/>
      <c r="D20" s="213"/>
      <c r="E20" s="213"/>
      <c r="F20" s="213"/>
      <c r="G20" s="213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09"/>
      <c r="B21" s="214"/>
      <c r="C21" s="212"/>
      <c r="D21" s="213"/>
      <c r="E21" s="213"/>
      <c r="F21" s="213"/>
      <c r="G21" s="213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09"/>
      <c r="B22" s="214"/>
      <c r="C22" s="212"/>
      <c r="D22" s="213"/>
      <c r="E22" s="213"/>
      <c r="F22" s="213"/>
      <c r="G22" s="213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10"/>
      <c r="B23" s="214"/>
      <c r="C23" s="215"/>
      <c r="D23" s="216"/>
      <c r="E23" s="216"/>
      <c r="F23" s="216"/>
      <c r="G23" s="216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200" t="s">
        <v>54</v>
      </c>
      <c r="B24" s="202"/>
      <c r="C24" s="203"/>
      <c r="D24" s="203"/>
      <c r="E24" s="203"/>
      <c r="F24" s="204"/>
      <c r="G24" s="35" t="s">
        <v>43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201"/>
      <c r="B25" s="205"/>
      <c r="C25" s="206"/>
      <c r="D25" s="206"/>
      <c r="E25" s="206"/>
      <c r="F25" s="207"/>
      <c r="G25" s="39" t="s">
        <v>44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201"/>
      <c r="B26" s="205"/>
      <c r="C26" s="206"/>
      <c r="D26" s="206"/>
      <c r="E26" s="206"/>
      <c r="F26" s="207"/>
      <c r="G26" s="39" t="s">
        <v>45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201"/>
      <c r="B27" s="205"/>
      <c r="C27" s="206"/>
      <c r="D27" s="206"/>
      <c r="E27" s="206"/>
      <c r="F27" s="207"/>
      <c r="G27" s="46" t="s">
        <v>46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67" t="s">
        <v>55</v>
      </c>
      <c r="B28" s="169" t="s">
        <v>47</v>
      </c>
      <c r="C28" s="169"/>
      <c r="D28" s="169"/>
      <c r="E28" s="169"/>
      <c r="F28" s="170" t="str">
        <f>GetBugSheetName()</f>
        <v>Template_</v>
      </c>
      <c r="G28" s="171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68"/>
      <c r="B29" s="172" t="s">
        <v>31</v>
      </c>
      <c r="C29" s="173"/>
      <c r="D29" s="173"/>
      <c r="E29" s="174"/>
      <c r="F29" s="172"/>
      <c r="G29" s="175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15:A23"/>
    <mergeCell ref="B15:G15"/>
    <mergeCell ref="C16:G16"/>
    <mergeCell ref="B17:B23"/>
    <mergeCell ref="C19:G19"/>
    <mergeCell ref="C20:G20"/>
    <mergeCell ref="C22:G22"/>
    <mergeCell ref="C23:G23"/>
    <mergeCell ref="C21:G21"/>
    <mergeCell ref="C17:G17"/>
    <mergeCell ref="C18:G18"/>
    <mergeCell ref="A24:A27"/>
    <mergeCell ref="B24:F24"/>
    <mergeCell ref="B25:F25"/>
    <mergeCell ref="B26:F26"/>
    <mergeCell ref="B27:F27"/>
    <mergeCell ref="A4:A14"/>
    <mergeCell ref="B4:G4"/>
    <mergeCell ref="B5:G5"/>
    <mergeCell ref="C6:G6"/>
    <mergeCell ref="C7:C8"/>
    <mergeCell ref="D7:G7"/>
    <mergeCell ref="D8:G8"/>
    <mergeCell ref="C9:G9"/>
    <mergeCell ref="C10:C11"/>
    <mergeCell ref="D10:G10"/>
    <mergeCell ref="D11:G11"/>
    <mergeCell ref="D14:G14"/>
    <mergeCell ref="C12:G12"/>
    <mergeCell ref="C13:C14"/>
    <mergeCell ref="D13:G13"/>
    <mergeCell ref="T1:Z1"/>
    <mergeCell ref="AA1:AB1"/>
    <mergeCell ref="AC1:AF1"/>
    <mergeCell ref="F2:H2"/>
    <mergeCell ref="B1:E1"/>
    <mergeCell ref="F1:O1"/>
    <mergeCell ref="B2:E2"/>
    <mergeCell ref="I2:O2"/>
    <mergeCell ref="P2:Z2"/>
    <mergeCell ref="AA2:AB2"/>
    <mergeCell ref="P1:S1"/>
    <mergeCell ref="AC2:AF2"/>
    <mergeCell ref="A28:A29"/>
    <mergeCell ref="B28:E28"/>
    <mergeCell ref="F28:G28"/>
    <mergeCell ref="B29:E29"/>
    <mergeCell ref="F29:G29"/>
  </mergeCells>
  <phoneticPr fontId="3"/>
  <conditionalFormatting sqref="H3:AF29">
    <cfRule type="expression" dxfId="199" priority="1" stopIfTrue="1">
      <formula>H$27="NA"</formula>
    </cfRule>
    <cfRule type="expression" dxfId="198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34"/>
  <sheetViews>
    <sheetView view="pageBreakPreview" zoomScale="85" zoomScaleNormal="70" workbookViewId="0">
      <pane xSplit="7" ySplit="3" topLeftCell="H16" activePane="bottomRight" state="frozen"/>
      <selection activeCell="A5" sqref="A5"/>
      <selection pane="topRight" activeCell="A5" sqref="A5"/>
      <selection pane="bottomLeft" activeCell="A5" sqref="A5"/>
      <selection pane="bottomRight" activeCell="F32" sqref="F32:G3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176" t="s">
        <v>64</v>
      </c>
      <c r="C1" s="177"/>
      <c r="D1" s="177"/>
      <c r="E1" s="178"/>
      <c r="F1" s="176" t="s">
        <v>65</v>
      </c>
      <c r="G1" s="177"/>
      <c r="H1" s="177"/>
      <c r="I1" s="177"/>
      <c r="J1" s="177"/>
      <c r="K1" s="177"/>
      <c r="L1" s="177"/>
      <c r="M1" s="177"/>
      <c r="N1" s="177"/>
      <c r="O1" s="178"/>
      <c r="P1" s="187" t="s">
        <v>38</v>
      </c>
      <c r="Q1" s="188"/>
      <c r="R1" s="188"/>
      <c r="S1" s="189"/>
      <c r="T1" s="176" t="s">
        <v>66</v>
      </c>
      <c r="U1" s="177"/>
      <c r="V1" s="177"/>
      <c r="W1" s="177"/>
      <c r="X1" s="177"/>
      <c r="Y1" s="177"/>
      <c r="Z1" s="178"/>
      <c r="AA1" s="179" t="s">
        <v>39</v>
      </c>
      <c r="AB1" s="179"/>
      <c r="AC1" s="180">
        <v>43710</v>
      </c>
      <c r="AD1" s="180"/>
      <c r="AE1" s="180"/>
      <c r="AF1" s="181"/>
    </row>
    <row r="2" spans="1:32" ht="20.100000000000001" customHeight="1" thickBot="1">
      <c r="A2" s="64" t="s">
        <v>40</v>
      </c>
      <c r="B2" s="182" t="s">
        <v>67</v>
      </c>
      <c r="C2" s="183"/>
      <c r="D2" s="183"/>
      <c r="E2" s="184"/>
      <c r="F2" s="182" t="s">
        <v>69</v>
      </c>
      <c r="G2" s="183"/>
      <c r="H2" s="184"/>
      <c r="I2" s="172" t="s">
        <v>67</v>
      </c>
      <c r="J2" s="173"/>
      <c r="K2" s="173"/>
      <c r="L2" s="173"/>
      <c r="M2" s="173"/>
      <c r="N2" s="173"/>
      <c r="O2" s="174"/>
      <c r="P2" s="182"/>
      <c r="Q2" s="183"/>
      <c r="R2" s="183"/>
      <c r="S2" s="183"/>
      <c r="T2" s="183"/>
      <c r="U2" s="183"/>
      <c r="V2" s="183"/>
      <c r="W2" s="183"/>
      <c r="X2" s="183"/>
      <c r="Y2" s="183"/>
      <c r="Z2" s="184"/>
      <c r="AA2" s="185" t="s">
        <v>41</v>
      </c>
      <c r="AB2" s="186"/>
      <c r="AC2" s="182" t="s">
        <v>42</v>
      </c>
      <c r="AD2" s="183"/>
      <c r="AE2" s="183"/>
      <c r="AF2" s="190"/>
    </row>
    <row r="3" spans="1:32" ht="37.5" customHeight="1" thickBot="1">
      <c r="A3" s="66" t="s">
        <v>57</v>
      </c>
      <c r="B3" s="10"/>
      <c r="C3" s="10"/>
      <c r="D3" s="10"/>
      <c r="E3" s="10"/>
      <c r="F3" s="10"/>
      <c r="G3" s="65" t="s">
        <v>58</v>
      </c>
      <c r="H3" s="11">
        <f>IF(COUNTA(H4:H28)&gt;0,1,"")</f>
        <v>1</v>
      </c>
      <c r="I3" s="12">
        <f t="shared" ref="I3:AF3" si="0">IF(COUNTA(I4:I28)&gt;0,IF(H3&gt;0,H3+1,""),"")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91" t="s">
        <v>59</v>
      </c>
      <c r="B4" s="193" t="s">
        <v>71</v>
      </c>
      <c r="C4" s="193"/>
      <c r="D4" s="193"/>
      <c r="E4" s="193"/>
      <c r="F4" s="193"/>
      <c r="G4" s="193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92"/>
      <c r="B5" s="194" t="s">
        <v>63</v>
      </c>
      <c r="C5" s="195"/>
      <c r="D5" s="195"/>
      <c r="E5" s="195"/>
      <c r="F5" s="195"/>
      <c r="G5" s="195"/>
      <c r="H5" s="80" t="s">
        <v>92</v>
      </c>
      <c r="I5" s="80" t="s">
        <v>92</v>
      </c>
      <c r="J5" s="80" t="s">
        <v>92</v>
      </c>
      <c r="K5" s="80" t="s">
        <v>92</v>
      </c>
      <c r="L5" s="80" t="s">
        <v>92</v>
      </c>
      <c r="M5" s="80" t="s">
        <v>92</v>
      </c>
      <c r="N5" s="80" t="s">
        <v>92</v>
      </c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92"/>
      <c r="B6" s="21"/>
      <c r="C6" s="217" t="s">
        <v>72</v>
      </c>
      <c r="D6" s="217"/>
      <c r="E6" s="217"/>
      <c r="F6" s="217"/>
      <c r="G6" s="217"/>
      <c r="H6" s="80" t="s">
        <v>92</v>
      </c>
      <c r="I6" s="81"/>
      <c r="J6" s="81"/>
      <c r="K6" s="81"/>
      <c r="L6" s="81"/>
      <c r="M6" s="81"/>
      <c r="N6" s="81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92"/>
      <c r="B7" s="21"/>
      <c r="C7" s="218" t="s">
        <v>73</v>
      </c>
      <c r="D7" s="218"/>
      <c r="E7" s="218"/>
      <c r="F7" s="218"/>
      <c r="G7" s="218"/>
      <c r="H7" s="82"/>
      <c r="I7" s="80" t="s">
        <v>92</v>
      </c>
      <c r="J7" s="81"/>
      <c r="K7" s="81"/>
      <c r="L7" s="81"/>
      <c r="M7" s="81"/>
      <c r="N7" s="81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192"/>
      <c r="B8" s="21"/>
      <c r="C8" s="219" t="s">
        <v>74</v>
      </c>
      <c r="D8" s="219"/>
      <c r="E8" s="219"/>
      <c r="F8" s="219"/>
      <c r="G8" s="219"/>
      <c r="H8" s="82"/>
      <c r="I8" s="81"/>
      <c r="J8" s="80" t="s">
        <v>92</v>
      </c>
      <c r="K8" s="81"/>
      <c r="L8" s="81"/>
      <c r="M8" s="81"/>
      <c r="N8" s="81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192"/>
      <c r="B9" s="21"/>
      <c r="C9" s="219" t="s">
        <v>75</v>
      </c>
      <c r="D9" s="219"/>
      <c r="E9" s="219"/>
      <c r="F9" s="219"/>
      <c r="G9" s="219"/>
      <c r="H9" s="82"/>
      <c r="I9" s="81"/>
      <c r="J9" s="80"/>
      <c r="K9" s="80" t="s">
        <v>92</v>
      </c>
      <c r="L9" s="81"/>
      <c r="M9" s="81"/>
      <c r="N9" s="81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192"/>
      <c r="B10" s="21"/>
      <c r="C10" s="219" t="s">
        <v>76</v>
      </c>
      <c r="D10" s="219"/>
      <c r="E10" s="219"/>
      <c r="F10" s="219"/>
      <c r="G10" s="219"/>
      <c r="H10" s="82"/>
      <c r="I10" s="81"/>
      <c r="J10" s="81"/>
      <c r="K10" s="81"/>
      <c r="L10" s="81"/>
      <c r="M10" s="81"/>
      <c r="N10" s="81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192"/>
      <c r="B11" s="21"/>
      <c r="C11" s="71"/>
      <c r="D11" s="220" t="s">
        <v>68</v>
      </c>
      <c r="E11" s="220"/>
      <c r="F11" s="220"/>
      <c r="G11" s="220"/>
      <c r="H11" s="82"/>
      <c r="I11" s="81"/>
      <c r="J11" s="81"/>
      <c r="K11" s="81"/>
      <c r="L11" s="80" t="s">
        <v>92</v>
      </c>
      <c r="M11" s="81"/>
      <c r="N11" s="81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192"/>
      <c r="B12" s="21"/>
      <c r="C12" s="72"/>
      <c r="D12" s="220" t="s">
        <v>77</v>
      </c>
      <c r="E12" s="220"/>
      <c r="F12" s="220"/>
      <c r="G12" s="220"/>
      <c r="H12" s="82"/>
      <c r="I12" s="81"/>
      <c r="J12" s="81"/>
      <c r="K12" s="81"/>
      <c r="L12" s="81"/>
      <c r="M12" s="80" t="s">
        <v>92</v>
      </c>
      <c r="N12" s="81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 thickBot="1">
      <c r="A13" s="192"/>
      <c r="B13" s="21"/>
      <c r="C13" s="219" t="s">
        <v>78</v>
      </c>
      <c r="D13" s="219"/>
      <c r="E13" s="219"/>
      <c r="F13" s="219"/>
      <c r="G13" s="219"/>
      <c r="H13" s="82"/>
      <c r="I13" s="81"/>
      <c r="J13" s="81"/>
      <c r="K13" s="81"/>
      <c r="L13" s="81"/>
      <c r="M13" s="81"/>
      <c r="N13" s="80" t="s">
        <v>92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08" t="s">
        <v>60</v>
      </c>
      <c r="B14" s="221" t="s">
        <v>79</v>
      </c>
      <c r="C14" s="221"/>
      <c r="D14" s="221"/>
      <c r="E14" s="221"/>
      <c r="F14" s="221"/>
      <c r="G14" s="221"/>
      <c r="H14" s="25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7"/>
    </row>
    <row r="15" spans="1:32" s="17" customFormat="1" ht="13.5" customHeight="1">
      <c r="A15" s="209"/>
      <c r="B15" s="76"/>
      <c r="C15" s="225" t="s">
        <v>80</v>
      </c>
      <c r="D15" s="225"/>
      <c r="E15" s="225"/>
      <c r="F15" s="225"/>
      <c r="G15" s="225"/>
      <c r="H15" s="73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5"/>
    </row>
    <row r="16" spans="1:32" s="17" customFormat="1" ht="13.5" customHeight="1">
      <c r="A16" s="209"/>
      <c r="B16" s="222"/>
      <c r="C16" s="77"/>
      <c r="D16" s="223" t="s">
        <v>81</v>
      </c>
      <c r="E16" s="223"/>
      <c r="F16" s="223"/>
      <c r="G16" s="223"/>
      <c r="H16" s="80" t="s">
        <v>92</v>
      </c>
      <c r="I16" s="80" t="s">
        <v>92</v>
      </c>
      <c r="J16" s="81"/>
      <c r="K16" s="81"/>
      <c r="L16" s="81"/>
      <c r="M16" s="81"/>
      <c r="N16" s="81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5"/>
    </row>
    <row r="17" spans="1:32" s="17" customFormat="1" ht="13.5" customHeight="1">
      <c r="A17" s="209"/>
      <c r="B17" s="222"/>
      <c r="C17" s="77"/>
      <c r="D17" s="224" t="s">
        <v>82</v>
      </c>
      <c r="E17" s="224"/>
      <c r="F17" s="224"/>
      <c r="G17" s="224"/>
      <c r="H17" s="80"/>
      <c r="I17" s="80"/>
      <c r="J17" s="81"/>
      <c r="K17" s="81"/>
      <c r="L17" s="80" t="s">
        <v>92</v>
      </c>
      <c r="M17" s="80" t="s">
        <v>92</v>
      </c>
      <c r="N17" s="81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5"/>
    </row>
    <row r="18" spans="1:32" s="17" customFormat="1" ht="13.5" customHeight="1">
      <c r="A18" s="209"/>
      <c r="B18" s="222"/>
      <c r="C18" s="78"/>
      <c r="D18" s="223" t="s">
        <v>83</v>
      </c>
      <c r="E18" s="223"/>
      <c r="F18" s="223"/>
      <c r="G18" s="223"/>
      <c r="H18" s="80" t="s">
        <v>92</v>
      </c>
      <c r="I18" s="80" t="s">
        <v>92</v>
      </c>
      <c r="J18" s="81"/>
      <c r="K18" s="81"/>
      <c r="L18" s="81"/>
      <c r="M18" s="81"/>
      <c r="N18" s="81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5"/>
    </row>
    <row r="19" spans="1:32" s="17" customFormat="1" ht="13.5" customHeight="1">
      <c r="A19" s="209"/>
      <c r="B19" s="222"/>
      <c r="C19" s="225" t="s">
        <v>84</v>
      </c>
      <c r="D19" s="225"/>
      <c r="E19" s="225"/>
      <c r="F19" s="225"/>
      <c r="G19" s="225"/>
      <c r="H19" s="82"/>
      <c r="I19" s="81"/>
      <c r="J19" s="81"/>
      <c r="K19" s="81"/>
      <c r="L19" s="81"/>
      <c r="M19" s="81"/>
      <c r="N19" s="81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5"/>
    </row>
    <row r="20" spans="1:32" s="17" customFormat="1" ht="13.5" customHeight="1">
      <c r="A20" s="209"/>
      <c r="B20" s="222"/>
      <c r="C20" s="79"/>
      <c r="D20" s="223" t="s">
        <v>85</v>
      </c>
      <c r="E20" s="223"/>
      <c r="F20" s="223"/>
      <c r="G20" s="223"/>
      <c r="H20" s="80" t="s">
        <v>92</v>
      </c>
      <c r="I20" s="80" t="s">
        <v>92</v>
      </c>
      <c r="J20" s="80" t="s">
        <v>92</v>
      </c>
      <c r="K20" s="80" t="s">
        <v>92</v>
      </c>
      <c r="L20" s="80" t="s">
        <v>92</v>
      </c>
      <c r="M20" s="80" t="s">
        <v>92</v>
      </c>
      <c r="N20" s="81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5"/>
    </row>
    <row r="21" spans="1:32" s="17" customFormat="1" ht="13.5" customHeight="1">
      <c r="A21" s="209"/>
      <c r="B21" s="222"/>
      <c r="C21" s="225" t="s">
        <v>86</v>
      </c>
      <c r="D21" s="225"/>
      <c r="E21" s="225"/>
      <c r="F21" s="225"/>
      <c r="G21" s="225"/>
      <c r="H21" s="82"/>
      <c r="I21" s="81"/>
      <c r="J21" s="81"/>
      <c r="K21" s="81"/>
      <c r="L21" s="81"/>
      <c r="M21" s="81"/>
      <c r="N21" s="81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5"/>
    </row>
    <row r="22" spans="1:32" s="17" customFormat="1" ht="13.5" customHeight="1">
      <c r="A22" s="209"/>
      <c r="B22" s="222"/>
      <c r="C22" s="79"/>
      <c r="D22" s="223" t="s">
        <v>87</v>
      </c>
      <c r="E22" s="223"/>
      <c r="F22" s="223"/>
      <c r="G22" s="223"/>
      <c r="H22" s="80" t="s">
        <v>92</v>
      </c>
      <c r="I22" s="81"/>
      <c r="J22" s="81"/>
      <c r="K22" s="81"/>
      <c r="L22" s="81"/>
      <c r="M22" s="81"/>
      <c r="N22" s="81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5"/>
    </row>
    <row r="23" spans="1:32" s="17" customFormat="1" ht="13.5" customHeight="1">
      <c r="A23" s="209"/>
      <c r="B23" s="222"/>
      <c r="C23" s="225" t="s">
        <v>88</v>
      </c>
      <c r="D23" s="225"/>
      <c r="E23" s="225"/>
      <c r="F23" s="225"/>
      <c r="G23" s="225"/>
      <c r="H23" s="82"/>
      <c r="I23" s="81"/>
      <c r="J23" s="81"/>
      <c r="K23" s="81"/>
      <c r="L23" s="81"/>
      <c r="M23" s="81"/>
      <c r="N23" s="81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5"/>
    </row>
    <row r="24" spans="1:32" s="17" customFormat="1" ht="13.5" customHeight="1">
      <c r="A24" s="209"/>
      <c r="B24" s="222"/>
      <c r="C24" s="79"/>
      <c r="D24" s="223" t="s">
        <v>68</v>
      </c>
      <c r="E24" s="223"/>
      <c r="F24" s="223"/>
      <c r="G24" s="223"/>
      <c r="H24" s="82"/>
      <c r="I24" s="81"/>
      <c r="J24" s="80" t="s">
        <v>92</v>
      </c>
      <c r="K24" s="81"/>
      <c r="L24" s="81"/>
      <c r="M24" s="81"/>
      <c r="N24" s="81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5"/>
    </row>
    <row r="25" spans="1:32" s="17" customFormat="1" ht="13.5" customHeight="1">
      <c r="A25" s="209"/>
      <c r="B25" s="222"/>
      <c r="C25" s="225" t="s">
        <v>89</v>
      </c>
      <c r="D25" s="225"/>
      <c r="E25" s="225"/>
      <c r="F25" s="225"/>
      <c r="G25" s="225"/>
      <c r="H25" s="83"/>
      <c r="I25" s="84"/>
      <c r="J25" s="84"/>
      <c r="K25" s="84"/>
      <c r="L25" s="84"/>
      <c r="M25" s="84"/>
      <c r="N25" s="8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5"/>
    </row>
    <row r="26" spans="1:32" s="17" customFormat="1" ht="13.5" customHeight="1">
      <c r="A26" s="209"/>
      <c r="B26" s="222"/>
      <c r="C26" s="79"/>
      <c r="D26" s="223" t="s">
        <v>90</v>
      </c>
      <c r="E26" s="223"/>
      <c r="F26" s="223"/>
      <c r="G26" s="223"/>
      <c r="H26" s="83"/>
      <c r="I26" s="84"/>
      <c r="J26" s="84"/>
      <c r="K26" s="80" t="s">
        <v>92</v>
      </c>
      <c r="L26" s="84"/>
      <c r="M26" s="84"/>
      <c r="N26" s="8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5"/>
    </row>
    <row r="27" spans="1:32" s="17" customFormat="1" ht="13.5" customHeight="1" thickBot="1">
      <c r="A27" s="209"/>
      <c r="B27" s="222"/>
      <c r="C27" s="225" t="s">
        <v>91</v>
      </c>
      <c r="D27" s="225"/>
      <c r="E27" s="225"/>
      <c r="F27" s="225"/>
      <c r="G27" s="225"/>
      <c r="H27" s="83"/>
      <c r="I27" s="84"/>
      <c r="J27" s="84"/>
      <c r="K27" s="84"/>
      <c r="L27" s="84"/>
      <c r="M27" s="84"/>
      <c r="N27" s="80" t="s">
        <v>92</v>
      </c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5"/>
    </row>
    <row r="28" spans="1:32" s="17" customFormat="1" ht="24" customHeight="1">
      <c r="A28" s="200" t="s">
        <v>61</v>
      </c>
      <c r="B28" s="202"/>
      <c r="C28" s="203"/>
      <c r="D28" s="203"/>
      <c r="E28" s="203"/>
      <c r="F28" s="204"/>
      <c r="G28" s="35" t="s">
        <v>43</v>
      </c>
      <c r="H28" s="36" t="s">
        <v>93</v>
      </c>
      <c r="I28" s="36" t="s">
        <v>93</v>
      </c>
      <c r="J28" s="36" t="s">
        <v>93</v>
      </c>
      <c r="K28" s="36" t="s">
        <v>93</v>
      </c>
      <c r="L28" s="36" t="s">
        <v>93</v>
      </c>
      <c r="M28" s="36" t="s">
        <v>93</v>
      </c>
      <c r="N28" s="37" t="s">
        <v>94</v>
      </c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8"/>
    </row>
    <row r="29" spans="1:32" s="17" customFormat="1" ht="27" customHeight="1">
      <c r="A29" s="201"/>
      <c r="B29" s="205"/>
      <c r="C29" s="206"/>
      <c r="D29" s="206"/>
      <c r="E29" s="206"/>
      <c r="F29" s="207"/>
      <c r="G29" s="39" t="s">
        <v>44</v>
      </c>
      <c r="H29" s="40" t="s">
        <v>95</v>
      </c>
      <c r="I29" s="41" t="s">
        <v>95</v>
      </c>
      <c r="J29" s="41" t="s">
        <v>95</v>
      </c>
      <c r="K29" s="41" t="s">
        <v>95</v>
      </c>
      <c r="L29" s="41" t="s">
        <v>95</v>
      </c>
      <c r="M29" s="41" t="s">
        <v>95</v>
      </c>
      <c r="N29" s="41" t="s">
        <v>95</v>
      </c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2"/>
    </row>
    <row r="30" spans="1:32" s="17" customFormat="1" ht="27" customHeight="1">
      <c r="A30" s="201"/>
      <c r="B30" s="205"/>
      <c r="C30" s="206"/>
      <c r="D30" s="206"/>
      <c r="E30" s="206"/>
      <c r="F30" s="207"/>
      <c r="G30" s="39" t="s">
        <v>45</v>
      </c>
      <c r="H30" s="43">
        <v>43710</v>
      </c>
      <c r="I30" s="44">
        <v>43710</v>
      </c>
      <c r="J30" s="44">
        <v>43710</v>
      </c>
      <c r="K30" s="44">
        <v>43710</v>
      </c>
      <c r="L30" s="44">
        <v>43710</v>
      </c>
      <c r="M30" s="44">
        <v>43710</v>
      </c>
      <c r="N30" s="44">
        <v>43710</v>
      </c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5"/>
    </row>
    <row r="31" spans="1:32" s="17" customFormat="1" ht="24.75" customHeight="1">
      <c r="A31" s="201"/>
      <c r="B31" s="205"/>
      <c r="C31" s="206"/>
      <c r="D31" s="206"/>
      <c r="E31" s="206"/>
      <c r="F31" s="207"/>
      <c r="G31" s="46" t="s">
        <v>46</v>
      </c>
      <c r="H31" s="40" t="s">
        <v>96</v>
      </c>
      <c r="I31" s="40" t="s">
        <v>96</v>
      </c>
      <c r="J31" s="40" t="s">
        <v>96</v>
      </c>
      <c r="K31" s="40" t="s">
        <v>96</v>
      </c>
      <c r="L31" s="40" t="s">
        <v>96</v>
      </c>
      <c r="M31" s="40" t="s">
        <v>96</v>
      </c>
      <c r="N31" s="40" t="s">
        <v>96</v>
      </c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2"/>
    </row>
    <row r="32" spans="1:32" s="17" customFormat="1" ht="24.75" customHeight="1">
      <c r="A32" s="167" t="s">
        <v>62</v>
      </c>
      <c r="B32" s="169" t="s">
        <v>47</v>
      </c>
      <c r="C32" s="169"/>
      <c r="D32" s="169"/>
      <c r="E32" s="169"/>
      <c r="F32" s="170" t="str">
        <f>GetBugSheetName()</f>
        <v>Template_</v>
      </c>
      <c r="G32" s="171"/>
      <c r="H32" s="60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4"/>
    </row>
    <row r="33" spans="1:32" s="17" customFormat="1" ht="36" customHeight="1" thickBot="1">
      <c r="A33" s="168"/>
      <c r="B33" s="172" t="s">
        <v>48</v>
      </c>
      <c r="C33" s="173"/>
      <c r="D33" s="173"/>
      <c r="E33" s="174"/>
      <c r="F33" s="172"/>
      <c r="G33" s="175"/>
      <c r="H33" s="61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 t="str">
        <f t="shared" ref="S33:AF33" si="1">IF(S32="","",(SUM(LEN(S32)-LEN(SUBSTITUTE(S32,",","")))/LEN(",")) + 1 )</f>
        <v/>
      </c>
      <c r="T33" s="55" t="str">
        <f t="shared" si="1"/>
        <v/>
      </c>
      <c r="U33" s="55" t="str">
        <f t="shared" si="1"/>
        <v/>
      </c>
      <c r="V33" s="55" t="str">
        <f t="shared" si="1"/>
        <v/>
      </c>
      <c r="W33" s="55" t="str">
        <f t="shared" si="1"/>
        <v/>
      </c>
      <c r="X33" s="55" t="str">
        <f t="shared" si="1"/>
        <v/>
      </c>
      <c r="Y33" s="55" t="str">
        <f t="shared" si="1"/>
        <v/>
      </c>
      <c r="Z33" s="55" t="str">
        <f t="shared" si="1"/>
        <v/>
      </c>
      <c r="AA33" s="55" t="str">
        <f t="shared" si="1"/>
        <v/>
      </c>
      <c r="AB33" s="55" t="str">
        <f t="shared" si="1"/>
        <v/>
      </c>
      <c r="AC33" s="55" t="str">
        <f t="shared" si="1"/>
        <v/>
      </c>
      <c r="AD33" s="55" t="str">
        <f t="shared" si="1"/>
        <v/>
      </c>
      <c r="AE33" s="55" t="str">
        <f t="shared" si="1"/>
        <v/>
      </c>
      <c r="AF33" s="56" t="str">
        <f t="shared" si="1"/>
        <v/>
      </c>
    </row>
    <row r="34" spans="1:32" s="17" customFormat="1">
      <c r="H34" s="47"/>
      <c r="I34" s="47"/>
      <c r="J34" s="47"/>
      <c r="K34" s="47"/>
      <c r="L34" s="47"/>
      <c r="M34" s="47"/>
      <c r="N34" s="48"/>
      <c r="O34" s="49"/>
      <c r="P34" s="47"/>
      <c r="Q34" s="47"/>
      <c r="R34" s="47"/>
      <c r="S34" s="47"/>
      <c r="T34" s="47"/>
      <c r="U34" s="47"/>
      <c r="V34" s="47"/>
    </row>
  </sheetData>
  <sheetProtection insertRows="0"/>
  <protectedRanges>
    <protectedRange sqref="B4:G27" name="Range2_1"/>
    <protectedRange sqref="B1:O2 P2 T1 AC1:AF2" name="Range1_1"/>
    <protectedRange sqref="H28:AF32" name="Range3_1_1"/>
    <protectedRange sqref="H4:AF27" name="Range2_1_1"/>
  </protectedRanges>
  <mergeCells count="49">
    <mergeCell ref="B14:G14"/>
    <mergeCell ref="B16:B27"/>
    <mergeCell ref="D16:G16"/>
    <mergeCell ref="D17:G17"/>
    <mergeCell ref="D18:G18"/>
    <mergeCell ref="C19:G19"/>
    <mergeCell ref="D20:G20"/>
    <mergeCell ref="C21:G21"/>
    <mergeCell ref="D22:G22"/>
    <mergeCell ref="C23:G23"/>
    <mergeCell ref="D24:G24"/>
    <mergeCell ref="C25:G25"/>
    <mergeCell ref="D26:G26"/>
    <mergeCell ref="C27:G27"/>
    <mergeCell ref="C15:G15"/>
    <mergeCell ref="A28:A31"/>
    <mergeCell ref="B28:F28"/>
    <mergeCell ref="B1:E1"/>
    <mergeCell ref="F1:O1"/>
    <mergeCell ref="B2:E2"/>
    <mergeCell ref="I2:O2"/>
    <mergeCell ref="B31:F31"/>
    <mergeCell ref="A14:A27"/>
    <mergeCell ref="B29:F29"/>
    <mergeCell ref="B30:F30"/>
    <mergeCell ref="C6:G6"/>
    <mergeCell ref="C7:G7"/>
    <mergeCell ref="C8:G8"/>
    <mergeCell ref="C9:G9"/>
    <mergeCell ref="C10:G10"/>
    <mergeCell ref="D11:G11"/>
    <mergeCell ref="A32:A33"/>
    <mergeCell ref="B32:E32"/>
    <mergeCell ref="F32:G32"/>
    <mergeCell ref="B33:E33"/>
    <mergeCell ref="F33:G33"/>
    <mergeCell ref="AA1:AB1"/>
    <mergeCell ref="AC1:AF1"/>
    <mergeCell ref="AC2:AF2"/>
    <mergeCell ref="A4:A13"/>
    <mergeCell ref="B4:G4"/>
    <mergeCell ref="B5:G5"/>
    <mergeCell ref="P2:Z2"/>
    <mergeCell ref="AA2:AB2"/>
    <mergeCell ref="T1:Z1"/>
    <mergeCell ref="F2:H2"/>
    <mergeCell ref="P1:S1"/>
    <mergeCell ref="D12:G12"/>
    <mergeCell ref="C13:G13"/>
  </mergeCells>
  <phoneticPr fontId="3"/>
  <conditionalFormatting sqref="H3:AF33">
    <cfRule type="expression" dxfId="197" priority="113" stopIfTrue="1">
      <formula>H$31="NA"</formula>
    </cfRule>
    <cfRule type="expression" dxfId="196" priority="114" stopIfTrue="1">
      <formula>H$31="NG"</formula>
    </cfRule>
  </conditionalFormatting>
  <conditionalFormatting sqref="J7:N7 I6:N6 H7">
    <cfRule type="expression" dxfId="195" priority="11" stopIfTrue="1">
      <formula>NA()</formula>
    </cfRule>
    <cfRule type="expression" dxfId="194" priority="12" stopIfTrue="1">
      <formula>NA()</formula>
    </cfRule>
  </conditionalFormatting>
  <conditionalFormatting sqref="H11:K11 M11:N11 H12:L12 N12 H13:M13">
    <cfRule type="expression" dxfId="193" priority="9" stopIfTrue="1">
      <formula>NA()</formula>
    </cfRule>
    <cfRule type="expression" dxfId="192" priority="10" stopIfTrue="1">
      <formula>NA()</formula>
    </cfRule>
  </conditionalFormatting>
  <conditionalFormatting sqref="H10:N10 H9:I9 L9:N9">
    <cfRule type="expression" dxfId="191" priority="7" stopIfTrue="1">
      <formula>NA()</formula>
    </cfRule>
    <cfRule type="expression" dxfId="190" priority="8" stopIfTrue="1">
      <formula>NA()</formula>
    </cfRule>
  </conditionalFormatting>
  <conditionalFormatting sqref="H10:N10 H8:I9 K8:N8 L9:N9">
    <cfRule type="expression" dxfId="189" priority="5" stopIfTrue="1">
      <formula>NA()</formula>
    </cfRule>
    <cfRule type="expression" dxfId="188" priority="6" stopIfTrue="1">
      <formula>NA()</formula>
    </cfRule>
  </conditionalFormatting>
  <conditionalFormatting sqref="H19:I19 I21:N23 J16:N16 N20 H21 H23:H27 I25:N25 I24 K24:N24 I26:J26 L26:N26 I27:M27 J18:N19 J17:K17 N17">
    <cfRule type="expression" dxfId="187" priority="3" stopIfTrue="1">
      <formula>NA()</formula>
    </cfRule>
    <cfRule type="expression" dxfId="186" priority="4" stopIfTrue="1">
      <formula>NA()</formula>
    </cfRule>
  </conditionalFormatting>
  <conditionalFormatting sqref="H19:I19 I21:N23 J16:N16 N20 H21 H23:H27 I25:N25 I24 K24:N24 I26:J26 L26:N26 I27:M27 J18:N19 J17:K17 N17">
    <cfRule type="expression" dxfId="185" priority="1" stopIfTrue="1">
      <formula>NA()</formula>
    </cfRule>
    <cfRule type="expression" dxfId="184" priority="2" stopIfTrue="1">
      <formula>NA()</formula>
    </cfRule>
  </conditionalFormatting>
  <dataValidations count="10">
    <dataValidation type="list" allowBlank="1" showInputMessage="1" showErrorMessage="1" sqref="H28:AF28">
      <formula1>"N, A, B"</formula1>
    </dataValidation>
    <dataValidation type="list" allowBlank="1" showInputMessage="1" showErrorMessage="1" sqref="H31:AF31">
      <formula1>"OK, NG, NA, PT"</formula1>
    </dataValidation>
    <dataValidation allowBlank="1" showInputMessage="1" showErrorMessage="1" promptTitle="PCL sheet name" prompt=" " sqref="F32:G32"/>
    <dataValidation allowBlank="1" showInputMessage="1" showErrorMessage="1" promptTitle="Bug ID" prompt="Unique ID throughout the project._x000a_For every Bug found during Test as well as Re-Test, a new Bug ID needs to be entered here (as a comma seperated value)" sqref="B32:E32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1"/>
    <dataValidation allowBlank="1" showInputMessage="1" showErrorMessage="1" promptTitle="Testing Date" prompt="Date on which test was performed in yyyy/mm/dd format" sqref="G30"/>
    <dataValidation allowBlank="1" showInputMessage="1" showErrorMessage="1" promptTitle="Enter" prompt="Name of the person who performed the test" sqref="G29"/>
    <dataValidation allowBlank="1" showInputMessage="1" showErrorMessage="1" promptTitle="Condition Type" prompt="N : Normal _x000a_A : Abnormal _x000a_B : Boundary" sqref="G28"/>
    <dataValidation allowBlank="1" showInputMessage="1" showErrorMessage="1" promptTitle="Check points" prompt="that need / need not be executed" sqref="A14:A27"/>
    <dataValidation allowBlank="1" showInputMessage="1" showErrorMessage="1" promptTitle="Input conditions" prompt="that need to be checked." sqref="A4:A13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44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I2" sqref="I2:O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76" t="s">
        <v>64</v>
      </c>
      <c r="C1" s="177"/>
      <c r="D1" s="177"/>
      <c r="E1" s="178"/>
      <c r="F1" s="176" t="s">
        <v>129</v>
      </c>
      <c r="G1" s="177"/>
      <c r="H1" s="177"/>
      <c r="I1" s="177"/>
      <c r="J1" s="177"/>
      <c r="K1" s="177"/>
      <c r="L1" s="177"/>
      <c r="M1" s="177"/>
      <c r="N1" s="177"/>
      <c r="O1" s="178"/>
      <c r="P1" s="187" t="s">
        <v>0</v>
      </c>
      <c r="Q1" s="188"/>
      <c r="R1" s="188"/>
      <c r="S1" s="189"/>
      <c r="T1" s="176" t="s">
        <v>66</v>
      </c>
      <c r="U1" s="177"/>
      <c r="V1" s="177"/>
      <c r="W1" s="177"/>
      <c r="X1" s="177"/>
      <c r="Y1" s="177"/>
      <c r="Z1" s="178"/>
      <c r="AA1" s="179" t="s">
        <v>11</v>
      </c>
      <c r="AB1" s="179"/>
      <c r="AC1" s="180">
        <v>43710</v>
      </c>
      <c r="AD1" s="180"/>
      <c r="AE1" s="180"/>
      <c r="AF1" s="181"/>
    </row>
    <row r="2" spans="1:32" ht="20.100000000000001" customHeight="1" thickBot="1">
      <c r="A2" s="64" t="s">
        <v>4</v>
      </c>
      <c r="B2" s="182" t="s">
        <v>130</v>
      </c>
      <c r="C2" s="183"/>
      <c r="D2" s="183"/>
      <c r="E2" s="184"/>
      <c r="F2" s="182" t="s">
        <v>69</v>
      </c>
      <c r="G2" s="183"/>
      <c r="H2" s="184"/>
      <c r="I2" s="172" t="s">
        <v>69</v>
      </c>
      <c r="J2" s="173"/>
      <c r="K2" s="173"/>
      <c r="L2" s="173"/>
      <c r="M2" s="173"/>
      <c r="N2" s="173"/>
      <c r="O2" s="174"/>
      <c r="P2" s="182"/>
      <c r="Q2" s="183"/>
      <c r="R2" s="183"/>
      <c r="S2" s="183"/>
      <c r="T2" s="183"/>
      <c r="U2" s="183"/>
      <c r="V2" s="183"/>
      <c r="W2" s="183"/>
      <c r="X2" s="183"/>
      <c r="Y2" s="183"/>
      <c r="Z2" s="184"/>
      <c r="AA2" s="185" t="s">
        <v>13</v>
      </c>
      <c r="AB2" s="186"/>
      <c r="AC2" s="182" t="s">
        <v>14</v>
      </c>
      <c r="AD2" s="183"/>
      <c r="AE2" s="183"/>
      <c r="AF2" s="190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IF(COUNTA(H4:H38)&gt;0,1,"")</f>
        <v>1</v>
      </c>
      <c r="I3" s="12">
        <f t="shared" ref="I3:AF3" si="0">IF(COUNTA(I4:I38)&gt;0,IF(H3&gt;0,H3+1,""),"")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91" t="s">
        <v>52</v>
      </c>
      <c r="B4" s="226" t="s">
        <v>70</v>
      </c>
      <c r="C4" s="226"/>
      <c r="D4" s="226"/>
      <c r="E4" s="226"/>
      <c r="F4" s="226"/>
      <c r="G4" s="226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92"/>
      <c r="B5" s="218" t="s">
        <v>104</v>
      </c>
      <c r="C5" s="218"/>
      <c r="D5" s="218"/>
      <c r="E5" s="218"/>
      <c r="F5" s="218"/>
      <c r="G5" s="218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92"/>
      <c r="B6" s="85"/>
      <c r="C6" s="227" t="s">
        <v>72</v>
      </c>
      <c r="D6" s="227"/>
      <c r="E6" s="227"/>
      <c r="F6" s="227"/>
      <c r="G6" s="227"/>
      <c r="H6" s="18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92"/>
      <c r="B7" s="86"/>
      <c r="C7" s="72"/>
      <c r="D7" s="228" t="s">
        <v>81</v>
      </c>
      <c r="E7" s="228"/>
      <c r="F7" s="228"/>
      <c r="G7" s="228"/>
      <c r="H7" s="99" t="s">
        <v>92</v>
      </c>
      <c r="I7" s="95"/>
      <c r="J7" s="95"/>
      <c r="K7" s="95"/>
      <c r="L7" s="95"/>
      <c r="M7" s="95"/>
      <c r="N7" s="95"/>
      <c r="O7" s="95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192"/>
      <c r="B8" s="86"/>
      <c r="C8" s="72"/>
      <c r="D8" s="229" t="s">
        <v>105</v>
      </c>
      <c r="E8" s="229"/>
      <c r="F8" s="229"/>
      <c r="G8" s="229"/>
      <c r="H8" s="99"/>
      <c r="I8" s="95" t="s">
        <v>92</v>
      </c>
      <c r="J8" s="95"/>
      <c r="K8" s="95" t="s">
        <v>92</v>
      </c>
      <c r="L8" s="95"/>
      <c r="M8" s="95"/>
      <c r="N8" s="95"/>
      <c r="O8" s="95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192"/>
      <c r="B9" s="86"/>
      <c r="C9" s="87"/>
      <c r="D9" s="219" t="s">
        <v>106</v>
      </c>
      <c r="E9" s="219"/>
      <c r="F9" s="219"/>
      <c r="G9" s="219"/>
      <c r="H9" s="99"/>
      <c r="I9" s="96"/>
      <c r="J9" s="95" t="s">
        <v>92</v>
      </c>
      <c r="K9" s="96"/>
      <c r="L9" s="95" t="s">
        <v>92</v>
      </c>
      <c r="M9" s="95"/>
      <c r="N9" s="95"/>
      <c r="O9" s="95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192"/>
      <c r="B10" s="85"/>
      <c r="C10" s="218" t="s">
        <v>73</v>
      </c>
      <c r="D10" s="218"/>
      <c r="E10" s="218"/>
      <c r="F10" s="218"/>
      <c r="G10" s="218"/>
      <c r="H10" s="100"/>
      <c r="I10" s="98"/>
      <c r="J10" s="97"/>
      <c r="K10" s="97"/>
      <c r="L10" s="97"/>
      <c r="M10" s="97"/>
      <c r="N10" s="97"/>
      <c r="O10" s="97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192"/>
      <c r="B11" s="86"/>
      <c r="C11" s="72"/>
      <c r="D11" s="228" t="s">
        <v>81</v>
      </c>
      <c r="E11" s="228"/>
      <c r="F11" s="228"/>
      <c r="G11" s="228"/>
      <c r="H11" s="99" t="s">
        <v>92</v>
      </c>
      <c r="I11" s="96"/>
      <c r="J11" s="96"/>
      <c r="K11" s="95"/>
      <c r="L11" s="95"/>
      <c r="M11" s="95"/>
      <c r="N11" s="95"/>
      <c r="O11" s="95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192"/>
      <c r="B12" s="86"/>
      <c r="C12" s="72"/>
      <c r="D12" s="230" t="s">
        <v>107</v>
      </c>
      <c r="E12" s="231"/>
      <c r="F12" s="231"/>
      <c r="G12" s="231"/>
      <c r="H12" s="99"/>
      <c r="I12" s="96"/>
      <c r="J12" s="95" t="s">
        <v>92</v>
      </c>
      <c r="K12" s="95" t="s">
        <v>92</v>
      </c>
      <c r="L12" s="95"/>
      <c r="M12" s="95"/>
      <c r="N12" s="95"/>
      <c r="O12" s="95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192"/>
      <c r="B13" s="86"/>
      <c r="C13" s="87"/>
      <c r="D13" s="232" t="s">
        <v>108</v>
      </c>
      <c r="E13" s="233"/>
      <c r="F13" s="233"/>
      <c r="G13" s="233"/>
      <c r="H13" s="99"/>
      <c r="I13" s="95" t="s">
        <v>92</v>
      </c>
      <c r="J13" s="96"/>
      <c r="K13" s="96"/>
      <c r="L13" s="95" t="s">
        <v>92</v>
      </c>
      <c r="M13" s="95"/>
      <c r="N13" s="95"/>
      <c r="O13" s="95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192"/>
      <c r="B14" s="85"/>
      <c r="C14" s="219" t="s">
        <v>99</v>
      </c>
      <c r="D14" s="219"/>
      <c r="E14" s="219"/>
      <c r="F14" s="219"/>
      <c r="G14" s="219"/>
      <c r="H14" s="99" t="s">
        <v>92</v>
      </c>
      <c r="I14" s="95" t="s">
        <v>92</v>
      </c>
      <c r="J14" s="98" t="s">
        <v>92</v>
      </c>
      <c r="K14" s="95" t="s">
        <v>92</v>
      </c>
      <c r="L14" s="95" t="s">
        <v>92</v>
      </c>
      <c r="M14" s="95" t="s">
        <v>92</v>
      </c>
      <c r="N14" s="95" t="s">
        <v>92</v>
      </c>
      <c r="O14" s="95" t="s">
        <v>92</v>
      </c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192"/>
      <c r="B15" s="85"/>
      <c r="C15" s="219" t="s">
        <v>100</v>
      </c>
      <c r="D15" s="219"/>
      <c r="E15" s="219"/>
      <c r="F15" s="219"/>
      <c r="G15" s="219"/>
      <c r="H15" s="100"/>
      <c r="I15" s="97"/>
      <c r="J15" s="97"/>
      <c r="K15" s="96"/>
      <c r="L15" s="96"/>
      <c r="M15" s="97"/>
      <c r="N15" s="97"/>
      <c r="O15" s="97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>
      <c r="A16" s="192"/>
      <c r="B16" s="85"/>
      <c r="C16" s="88"/>
      <c r="D16" s="219" t="s">
        <v>101</v>
      </c>
      <c r="E16" s="219"/>
      <c r="F16" s="219"/>
      <c r="G16" s="219"/>
      <c r="H16" s="100"/>
      <c r="I16" s="97"/>
      <c r="J16" s="97"/>
      <c r="K16" s="96"/>
      <c r="L16" s="96"/>
      <c r="M16" s="98" t="s">
        <v>92</v>
      </c>
      <c r="N16" s="97"/>
      <c r="O16" s="97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</row>
    <row r="17" spans="1:32" s="17" customFormat="1" ht="13.5" customHeight="1">
      <c r="A17" s="192"/>
      <c r="B17" s="85"/>
      <c r="C17" s="72"/>
      <c r="D17" s="219" t="s">
        <v>102</v>
      </c>
      <c r="E17" s="219"/>
      <c r="F17" s="219"/>
      <c r="G17" s="219"/>
      <c r="H17" s="100"/>
      <c r="I17" s="97"/>
      <c r="J17" s="97"/>
      <c r="K17" s="96"/>
      <c r="L17" s="96"/>
      <c r="M17" s="97"/>
      <c r="N17" s="98" t="s">
        <v>92</v>
      </c>
      <c r="O17" s="97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20"/>
    </row>
    <row r="18" spans="1:32" s="17" customFormat="1" ht="13.5" customHeight="1" thickBot="1">
      <c r="A18" s="192"/>
      <c r="B18" s="85"/>
      <c r="C18" s="89"/>
      <c r="D18" s="219" t="s">
        <v>103</v>
      </c>
      <c r="E18" s="219"/>
      <c r="F18" s="219"/>
      <c r="G18" s="219"/>
      <c r="H18" s="101"/>
      <c r="I18" s="102"/>
      <c r="J18" s="102"/>
      <c r="K18" s="103"/>
      <c r="L18" s="103"/>
      <c r="M18" s="102"/>
      <c r="N18" s="102"/>
      <c r="O18" s="104" t="s">
        <v>92</v>
      </c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20"/>
    </row>
    <row r="19" spans="1:32" s="17" customFormat="1" ht="13.5" customHeight="1">
      <c r="A19" s="208" t="s">
        <v>53</v>
      </c>
      <c r="B19" s="221" t="s">
        <v>79</v>
      </c>
      <c r="C19" s="221"/>
      <c r="D19" s="221"/>
      <c r="E19" s="221"/>
      <c r="F19" s="221"/>
      <c r="G19" s="221"/>
      <c r="H19" s="73"/>
      <c r="I19" s="74"/>
      <c r="J19" s="74"/>
      <c r="K19" s="90"/>
      <c r="L19" s="74"/>
      <c r="M19" s="74"/>
      <c r="N19" s="74"/>
      <c r="O19" s="74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7"/>
    </row>
    <row r="20" spans="1:32" s="17" customFormat="1" ht="13.5" customHeight="1">
      <c r="A20" s="209"/>
      <c r="B20" s="76"/>
      <c r="C20" s="225" t="s">
        <v>109</v>
      </c>
      <c r="D20" s="225"/>
      <c r="E20" s="225"/>
      <c r="F20" s="225"/>
      <c r="G20" s="225"/>
      <c r="H20" s="73"/>
      <c r="I20" s="74"/>
      <c r="J20" s="74"/>
      <c r="K20" s="90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5"/>
    </row>
    <row r="21" spans="1:32" s="17" customFormat="1" ht="13.5" customHeight="1">
      <c r="A21" s="209"/>
      <c r="B21" s="222"/>
      <c r="C21" s="91"/>
      <c r="D21" s="220" t="s">
        <v>110</v>
      </c>
      <c r="E21" s="220"/>
      <c r="F21" s="220"/>
      <c r="G21" s="219"/>
      <c r="H21" s="98" t="s">
        <v>92</v>
      </c>
      <c r="I21" s="98"/>
      <c r="J21" s="97"/>
      <c r="K21" s="97"/>
      <c r="L21" s="97"/>
      <c r="M21" s="97"/>
      <c r="N21" s="97"/>
      <c r="O21" s="97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5"/>
    </row>
    <row r="22" spans="1:32" s="17" customFormat="1" ht="13.5" customHeight="1">
      <c r="A22" s="209"/>
      <c r="B22" s="222"/>
      <c r="C22" s="92"/>
      <c r="D22" s="220" t="s">
        <v>111</v>
      </c>
      <c r="E22" s="220"/>
      <c r="F22" s="220"/>
      <c r="G22" s="219"/>
      <c r="H22" s="95" t="s">
        <v>92</v>
      </c>
      <c r="I22" s="95"/>
      <c r="J22" s="97"/>
      <c r="K22" s="97"/>
      <c r="L22" s="97"/>
      <c r="M22" s="97"/>
      <c r="N22" s="97"/>
      <c r="O22" s="97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5"/>
    </row>
    <row r="23" spans="1:32" s="17" customFormat="1" ht="13.5" customHeight="1">
      <c r="A23" s="209"/>
      <c r="B23" s="222"/>
      <c r="C23" s="92"/>
      <c r="D23" s="234" t="s">
        <v>112</v>
      </c>
      <c r="E23" s="234"/>
      <c r="F23" s="234"/>
      <c r="G23" s="235"/>
      <c r="H23" s="95"/>
      <c r="I23" s="95" t="s">
        <v>92</v>
      </c>
      <c r="J23" s="97"/>
      <c r="K23" s="97"/>
      <c r="L23" s="97"/>
      <c r="M23" s="97"/>
      <c r="N23" s="97"/>
      <c r="O23" s="97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5"/>
    </row>
    <row r="24" spans="1:32" s="17" customFormat="1" ht="13.5" customHeight="1">
      <c r="A24" s="209"/>
      <c r="B24" s="222"/>
      <c r="C24" s="92"/>
      <c r="D24" s="234" t="s">
        <v>113</v>
      </c>
      <c r="E24" s="234"/>
      <c r="F24" s="234"/>
      <c r="G24" s="235"/>
      <c r="H24" s="95"/>
      <c r="I24" s="95"/>
      <c r="J24" s="95" t="s">
        <v>92</v>
      </c>
      <c r="K24" s="95" t="s">
        <v>92</v>
      </c>
      <c r="L24" s="97"/>
      <c r="M24" s="97"/>
      <c r="N24" s="97"/>
      <c r="O24" s="97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5"/>
    </row>
    <row r="25" spans="1:32" s="17" customFormat="1" ht="13.5" customHeight="1">
      <c r="A25" s="209"/>
      <c r="B25" s="222"/>
      <c r="C25" s="223" t="s">
        <v>114</v>
      </c>
      <c r="D25" s="223"/>
      <c r="E25" s="223"/>
      <c r="F25" s="223"/>
      <c r="G25" s="225"/>
      <c r="H25" s="97"/>
      <c r="I25" s="97"/>
      <c r="J25" s="96"/>
      <c r="K25" s="95" t="s">
        <v>92</v>
      </c>
      <c r="L25" s="95" t="s">
        <v>92</v>
      </c>
      <c r="M25" s="97"/>
      <c r="N25" s="97"/>
      <c r="O25" s="97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5"/>
    </row>
    <row r="26" spans="1:32" s="17" customFormat="1" ht="13.5" customHeight="1">
      <c r="A26" s="209"/>
      <c r="B26" s="222"/>
      <c r="C26" s="223" t="s">
        <v>126</v>
      </c>
      <c r="D26" s="223"/>
      <c r="E26" s="223"/>
      <c r="F26" s="223"/>
      <c r="G26" s="225"/>
      <c r="H26" s="97"/>
      <c r="I26" s="97"/>
      <c r="J26" s="96"/>
      <c r="K26" s="96"/>
      <c r="L26" s="97"/>
      <c r="M26" s="97"/>
      <c r="N26" s="97"/>
      <c r="O26" s="97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5"/>
    </row>
    <row r="27" spans="1:32" s="17" customFormat="1" ht="13.5" customHeight="1">
      <c r="A27" s="209"/>
      <c r="B27" s="222"/>
      <c r="C27" s="93"/>
      <c r="D27" s="225" t="s">
        <v>127</v>
      </c>
      <c r="E27" s="236"/>
      <c r="F27" s="236"/>
      <c r="G27" s="237"/>
      <c r="H27" s="97"/>
      <c r="I27" s="97"/>
      <c r="J27" s="96"/>
      <c r="K27" s="96"/>
      <c r="L27" s="95" t="s">
        <v>92</v>
      </c>
      <c r="M27" s="97"/>
      <c r="N27" s="97"/>
      <c r="O27" s="97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5"/>
    </row>
    <row r="28" spans="1:32" s="17" customFormat="1" ht="13.5" customHeight="1">
      <c r="A28" s="209"/>
      <c r="B28" s="222"/>
      <c r="C28" s="93"/>
      <c r="D28" s="225" t="s">
        <v>128</v>
      </c>
      <c r="E28" s="236"/>
      <c r="F28" s="236"/>
      <c r="G28" s="237"/>
      <c r="H28" s="97"/>
      <c r="I28" s="97"/>
      <c r="J28" s="96"/>
      <c r="K28" s="96"/>
      <c r="L28" s="95" t="s">
        <v>92</v>
      </c>
      <c r="M28" s="97"/>
      <c r="N28" s="97"/>
      <c r="O28" s="98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5"/>
    </row>
    <row r="29" spans="1:32" s="17" customFormat="1" ht="13.5" customHeight="1">
      <c r="A29" s="209"/>
      <c r="B29" s="222"/>
      <c r="C29" s="223" t="s">
        <v>115</v>
      </c>
      <c r="D29" s="223"/>
      <c r="E29" s="223"/>
      <c r="F29" s="223"/>
      <c r="G29" s="225"/>
      <c r="H29" s="97"/>
      <c r="I29" s="97"/>
      <c r="J29" s="96"/>
      <c r="K29" s="96"/>
      <c r="L29" s="95"/>
      <c r="M29" s="95" t="s">
        <v>92</v>
      </c>
      <c r="N29" s="95" t="s">
        <v>92</v>
      </c>
      <c r="O29" s="95" t="s">
        <v>92</v>
      </c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5"/>
    </row>
    <row r="30" spans="1:32" s="17" customFormat="1" ht="13.5" customHeight="1">
      <c r="A30" s="209"/>
      <c r="B30" s="222"/>
      <c r="C30" s="223" t="s">
        <v>116</v>
      </c>
      <c r="D30" s="223"/>
      <c r="E30" s="223"/>
      <c r="F30" s="223"/>
      <c r="G30" s="225"/>
      <c r="H30" s="97"/>
      <c r="I30" s="97"/>
      <c r="J30" s="96"/>
      <c r="K30" s="96"/>
      <c r="L30" s="95"/>
      <c r="M30" s="97"/>
      <c r="N30" s="98"/>
      <c r="O30" s="97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5"/>
    </row>
    <row r="31" spans="1:32" s="17" customFormat="1" ht="13.5" customHeight="1">
      <c r="A31" s="209"/>
      <c r="B31" s="222"/>
      <c r="C31" s="77"/>
      <c r="D31" s="223" t="s">
        <v>117</v>
      </c>
      <c r="E31" s="223"/>
      <c r="F31" s="223"/>
      <c r="G31" s="225"/>
      <c r="H31" s="97"/>
      <c r="I31" s="97"/>
      <c r="J31" s="96"/>
      <c r="K31" s="96"/>
      <c r="L31" s="95"/>
      <c r="M31" s="95" t="s">
        <v>92</v>
      </c>
      <c r="N31" s="98"/>
      <c r="O31" s="97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5"/>
    </row>
    <row r="32" spans="1:32" s="17" customFormat="1" ht="13.5" customHeight="1">
      <c r="A32" s="209"/>
      <c r="B32" s="222"/>
      <c r="C32" s="94"/>
      <c r="D32" s="223" t="s">
        <v>118</v>
      </c>
      <c r="E32" s="223"/>
      <c r="F32" s="223"/>
      <c r="G32" s="225"/>
      <c r="H32" s="97"/>
      <c r="I32" s="97"/>
      <c r="J32" s="96"/>
      <c r="K32" s="96"/>
      <c r="L32" s="95"/>
      <c r="M32" s="97"/>
      <c r="N32" s="95" t="s">
        <v>92</v>
      </c>
      <c r="O32" s="97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5"/>
    </row>
    <row r="33" spans="1:32" s="17" customFormat="1" ht="13.5" customHeight="1">
      <c r="A33" s="209"/>
      <c r="B33" s="222"/>
      <c r="C33" s="78"/>
      <c r="D33" s="223" t="s">
        <v>119</v>
      </c>
      <c r="E33" s="223"/>
      <c r="F33" s="223"/>
      <c r="G33" s="225"/>
      <c r="H33" s="97"/>
      <c r="I33" s="97"/>
      <c r="J33" s="96"/>
      <c r="K33" s="96"/>
      <c r="L33" s="95"/>
      <c r="M33" s="97"/>
      <c r="N33" s="98"/>
      <c r="O33" s="95" t="s">
        <v>92</v>
      </c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5"/>
    </row>
    <row r="34" spans="1:32" s="17" customFormat="1" ht="13.5" customHeight="1">
      <c r="A34" s="209"/>
      <c r="B34" s="222"/>
      <c r="C34" s="223" t="s">
        <v>120</v>
      </c>
      <c r="D34" s="223"/>
      <c r="E34" s="223"/>
      <c r="F34" s="223"/>
      <c r="G34" s="225"/>
      <c r="H34" s="97"/>
      <c r="I34" s="97"/>
      <c r="J34" s="96"/>
      <c r="K34" s="96"/>
      <c r="L34" s="95"/>
      <c r="M34" s="97"/>
      <c r="N34" s="98"/>
      <c r="O34" s="97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5"/>
    </row>
    <row r="35" spans="1:32" s="17" customFormat="1" ht="13.5" customHeight="1">
      <c r="A35" s="209"/>
      <c r="B35" s="222"/>
      <c r="C35" s="77"/>
      <c r="D35" s="238" t="s">
        <v>121</v>
      </c>
      <c r="E35" s="238"/>
      <c r="F35" s="238"/>
      <c r="G35" s="239"/>
      <c r="H35" s="97"/>
      <c r="I35" s="97"/>
      <c r="J35" s="96"/>
      <c r="K35" s="96"/>
      <c r="L35" s="95"/>
      <c r="M35" s="95" t="s">
        <v>92</v>
      </c>
      <c r="N35" s="98"/>
      <c r="O35" s="97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5"/>
    </row>
    <row r="36" spans="1:32" s="17" customFormat="1" ht="13.5" customHeight="1">
      <c r="A36" s="209"/>
      <c r="B36" s="222"/>
      <c r="C36" s="94"/>
      <c r="D36" s="238" t="s">
        <v>122</v>
      </c>
      <c r="E36" s="238"/>
      <c r="F36" s="238"/>
      <c r="G36" s="239"/>
      <c r="H36" s="97"/>
      <c r="I36" s="97"/>
      <c r="J36" s="96"/>
      <c r="K36" s="96"/>
      <c r="L36" s="95"/>
      <c r="M36" s="97"/>
      <c r="N36" s="95" t="s">
        <v>92</v>
      </c>
      <c r="O36" s="97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5"/>
    </row>
    <row r="37" spans="1:32" s="17" customFormat="1" ht="13.5" customHeight="1" thickBot="1">
      <c r="A37" s="209"/>
      <c r="B37" s="222"/>
      <c r="C37" s="78"/>
      <c r="D37" s="238" t="s">
        <v>123</v>
      </c>
      <c r="E37" s="238"/>
      <c r="F37" s="238"/>
      <c r="G37" s="239"/>
      <c r="H37" s="97"/>
      <c r="I37" s="97"/>
      <c r="J37" s="96"/>
      <c r="K37" s="96"/>
      <c r="L37" s="97"/>
      <c r="M37" s="97"/>
      <c r="N37" s="97"/>
      <c r="O37" s="95" t="s">
        <v>92</v>
      </c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5"/>
    </row>
    <row r="38" spans="1:32" s="17" customFormat="1" ht="24" customHeight="1">
      <c r="A38" s="200" t="s">
        <v>54</v>
      </c>
      <c r="B38" s="202"/>
      <c r="C38" s="203"/>
      <c r="D38" s="203"/>
      <c r="E38" s="203"/>
      <c r="F38" s="204"/>
      <c r="G38" s="35" t="s">
        <v>43</v>
      </c>
      <c r="H38" s="105" t="s">
        <v>93</v>
      </c>
      <c r="I38" s="106" t="s">
        <v>93</v>
      </c>
      <c r="J38" s="106" t="s">
        <v>93</v>
      </c>
      <c r="K38" s="106" t="s">
        <v>93</v>
      </c>
      <c r="L38" s="106" t="s">
        <v>93</v>
      </c>
      <c r="M38" s="106" t="s">
        <v>94</v>
      </c>
      <c r="N38" s="106" t="s">
        <v>94</v>
      </c>
      <c r="O38" s="106" t="s">
        <v>94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8"/>
    </row>
    <row r="39" spans="1:32" s="17" customFormat="1" ht="27" customHeight="1">
      <c r="A39" s="201"/>
      <c r="B39" s="205"/>
      <c r="C39" s="206"/>
      <c r="D39" s="206"/>
      <c r="E39" s="206"/>
      <c r="F39" s="207"/>
      <c r="G39" s="39" t="s">
        <v>44</v>
      </c>
      <c r="H39" s="40" t="s">
        <v>124</v>
      </c>
      <c r="I39" s="40" t="s">
        <v>124</v>
      </c>
      <c r="J39" s="40" t="s">
        <v>124</v>
      </c>
      <c r="K39" s="40" t="s">
        <v>124</v>
      </c>
      <c r="L39" s="40" t="s">
        <v>124</v>
      </c>
      <c r="M39" s="40" t="s">
        <v>124</v>
      </c>
      <c r="N39" s="40" t="s">
        <v>124</v>
      </c>
      <c r="O39" s="40" t="s">
        <v>124</v>
      </c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2"/>
    </row>
    <row r="40" spans="1:32" s="17" customFormat="1" ht="27" customHeight="1">
      <c r="A40" s="201"/>
      <c r="B40" s="205"/>
      <c r="C40" s="206"/>
      <c r="D40" s="206"/>
      <c r="E40" s="206"/>
      <c r="F40" s="207"/>
      <c r="G40" s="39" t="s">
        <v>45</v>
      </c>
      <c r="H40" s="43">
        <v>43710</v>
      </c>
      <c r="I40" s="43">
        <v>43710</v>
      </c>
      <c r="J40" s="43">
        <v>43710</v>
      </c>
      <c r="K40" s="43">
        <v>43710</v>
      </c>
      <c r="L40" s="43">
        <v>43710</v>
      </c>
      <c r="M40" s="43">
        <v>43710</v>
      </c>
      <c r="N40" s="43">
        <v>43710</v>
      </c>
      <c r="O40" s="43">
        <v>43710</v>
      </c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5"/>
    </row>
    <row r="41" spans="1:32" s="17" customFormat="1" ht="24.75" customHeight="1">
      <c r="A41" s="201"/>
      <c r="B41" s="205" t="s">
        <v>97</v>
      </c>
      <c r="C41" s="206"/>
      <c r="D41" s="206"/>
      <c r="E41" s="206"/>
      <c r="F41" s="207"/>
      <c r="G41" s="46" t="s">
        <v>1</v>
      </c>
      <c r="H41" s="40" t="s">
        <v>96</v>
      </c>
      <c r="I41" s="40" t="s">
        <v>96</v>
      </c>
      <c r="J41" s="40" t="s">
        <v>96</v>
      </c>
      <c r="K41" s="40" t="s">
        <v>96</v>
      </c>
      <c r="L41" s="40" t="s">
        <v>96</v>
      </c>
      <c r="M41" s="40" t="s">
        <v>96</v>
      </c>
      <c r="N41" s="40" t="s">
        <v>96</v>
      </c>
      <c r="O41" s="40" t="s">
        <v>96</v>
      </c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2"/>
    </row>
    <row r="42" spans="1:32" s="17" customFormat="1" ht="24.75" customHeight="1">
      <c r="A42" s="167" t="s">
        <v>55</v>
      </c>
      <c r="B42" s="169" t="s">
        <v>47</v>
      </c>
      <c r="C42" s="169"/>
      <c r="D42" s="169"/>
      <c r="E42" s="169"/>
      <c r="F42" s="170" t="str">
        <f>GetBugSheetName()</f>
        <v>Template_</v>
      </c>
      <c r="G42" s="171"/>
      <c r="H42" s="60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4"/>
    </row>
    <row r="43" spans="1:32" s="17" customFormat="1" ht="36" customHeight="1" thickBot="1">
      <c r="A43" s="168"/>
      <c r="B43" s="172" t="s">
        <v>31</v>
      </c>
      <c r="C43" s="173"/>
      <c r="D43" s="173"/>
      <c r="E43" s="174"/>
      <c r="F43" s="172"/>
      <c r="G43" s="175"/>
      <c r="H43" s="61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 t="str">
        <f t="shared" ref="S43:AF43" si="1">IF(S42="","",(SUM(LEN(S42)-LEN(SUBSTITUTE(S42,",","")))/LEN(",")) + 1 )</f>
        <v/>
      </c>
      <c r="T43" s="55" t="str">
        <f t="shared" si="1"/>
        <v/>
      </c>
      <c r="U43" s="55" t="str">
        <f t="shared" si="1"/>
        <v/>
      </c>
      <c r="V43" s="55" t="str">
        <f t="shared" si="1"/>
        <v/>
      </c>
      <c r="W43" s="55" t="str">
        <f t="shared" si="1"/>
        <v/>
      </c>
      <c r="X43" s="55" t="str">
        <f t="shared" si="1"/>
        <v/>
      </c>
      <c r="Y43" s="55" t="str">
        <f t="shared" si="1"/>
        <v/>
      </c>
      <c r="Z43" s="55" t="str">
        <f t="shared" si="1"/>
        <v/>
      </c>
      <c r="AA43" s="55" t="str">
        <f t="shared" si="1"/>
        <v/>
      </c>
      <c r="AB43" s="55" t="str">
        <f t="shared" si="1"/>
        <v/>
      </c>
      <c r="AC43" s="55" t="str">
        <f t="shared" si="1"/>
        <v/>
      </c>
      <c r="AD43" s="55" t="str">
        <f t="shared" si="1"/>
        <v/>
      </c>
      <c r="AE43" s="55" t="str">
        <f t="shared" si="1"/>
        <v/>
      </c>
      <c r="AF43" s="56" t="str">
        <f t="shared" si="1"/>
        <v/>
      </c>
    </row>
    <row r="44" spans="1:32" s="17" customFormat="1">
      <c r="H44" s="47"/>
      <c r="I44" s="47"/>
      <c r="J44" s="47"/>
      <c r="K44" s="47"/>
      <c r="L44" s="47"/>
      <c r="M44" s="47"/>
      <c r="N44" s="48"/>
      <c r="O44" s="49"/>
      <c r="P44" s="47"/>
      <c r="Q44" s="47"/>
      <c r="R44" s="47"/>
      <c r="S44" s="47"/>
      <c r="T44" s="47"/>
      <c r="U44" s="47"/>
      <c r="V44" s="47"/>
    </row>
  </sheetData>
  <sheetProtection insertRows="0"/>
  <protectedRanges>
    <protectedRange sqref="B4:G37" name="Range2_1"/>
    <protectedRange sqref="B1:O2 P2 T1 AC1:AF2" name="Range1_1"/>
    <protectedRange sqref="H38:AF42" name="Range3_1_1"/>
    <protectedRange sqref="H4:AF37" name="Range2_1_1"/>
  </protectedRanges>
  <mergeCells count="59">
    <mergeCell ref="C29:G29"/>
    <mergeCell ref="C30:G30"/>
    <mergeCell ref="D31:G31"/>
    <mergeCell ref="D32:G32"/>
    <mergeCell ref="D33:G33"/>
    <mergeCell ref="D16:G16"/>
    <mergeCell ref="D18:G18"/>
    <mergeCell ref="C20:G20"/>
    <mergeCell ref="B21:B37"/>
    <mergeCell ref="D21:G21"/>
    <mergeCell ref="D22:G22"/>
    <mergeCell ref="D23:G23"/>
    <mergeCell ref="D24:G24"/>
    <mergeCell ref="C25:G25"/>
    <mergeCell ref="C26:G26"/>
    <mergeCell ref="D27:G27"/>
    <mergeCell ref="C34:G34"/>
    <mergeCell ref="D35:G35"/>
    <mergeCell ref="D36:G36"/>
    <mergeCell ref="D37:G37"/>
    <mergeCell ref="D28:G28"/>
    <mergeCell ref="A38:A41"/>
    <mergeCell ref="B38:F38"/>
    <mergeCell ref="B39:F39"/>
    <mergeCell ref="B40:F40"/>
    <mergeCell ref="B41:F41"/>
    <mergeCell ref="A42:A43"/>
    <mergeCell ref="B42:E42"/>
    <mergeCell ref="F42:G42"/>
    <mergeCell ref="B43:E43"/>
    <mergeCell ref="F43:G43"/>
    <mergeCell ref="A19:A37"/>
    <mergeCell ref="B19:G19"/>
    <mergeCell ref="A4:A18"/>
    <mergeCell ref="B4:G4"/>
    <mergeCell ref="B5:G5"/>
    <mergeCell ref="D17:G17"/>
    <mergeCell ref="C6:G6"/>
    <mergeCell ref="D7:G7"/>
    <mergeCell ref="D8:G8"/>
    <mergeCell ref="D9:G9"/>
    <mergeCell ref="C10:G10"/>
    <mergeCell ref="D11:G11"/>
    <mergeCell ref="D12:G12"/>
    <mergeCell ref="D13:G13"/>
    <mergeCell ref="C14:G14"/>
    <mergeCell ref="C15:G15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phoneticPr fontId="3"/>
  <conditionalFormatting sqref="H3:AF43">
    <cfRule type="expression" dxfId="183" priority="156" stopIfTrue="1">
      <formula>H$41="NA"</formula>
    </cfRule>
    <cfRule type="expression" dxfId="182" priority="157" stopIfTrue="1">
      <formula>H$41="NG"</formula>
    </cfRule>
  </conditionalFormatting>
  <conditionalFormatting sqref="J10:O10 H10">
    <cfRule type="expression" dxfId="181" priority="66" stopIfTrue="1">
      <formula>NA()</formula>
    </cfRule>
    <cfRule type="expression" dxfId="180" priority="67" stopIfTrue="1">
      <formula>NA()</formula>
    </cfRule>
  </conditionalFormatting>
  <conditionalFormatting sqref="H16:J18">
    <cfRule type="expression" dxfId="179" priority="64" stopIfTrue="1">
      <formula>NA()</formula>
    </cfRule>
    <cfRule type="expression" dxfId="178" priority="65" stopIfTrue="1">
      <formula>NA()</formula>
    </cfRule>
  </conditionalFormatting>
  <conditionalFormatting sqref="H15:J15">
    <cfRule type="expression" dxfId="177" priority="62" stopIfTrue="1">
      <formula>NA()</formula>
    </cfRule>
    <cfRule type="expression" dxfId="176" priority="63" stopIfTrue="1">
      <formula>NA()</formula>
    </cfRule>
  </conditionalFormatting>
  <conditionalFormatting sqref="H15:J15">
    <cfRule type="expression" dxfId="175" priority="60" stopIfTrue="1">
      <formula>NA()</formula>
    </cfRule>
    <cfRule type="expression" dxfId="174" priority="61" stopIfTrue="1">
      <formula>NA()</formula>
    </cfRule>
  </conditionalFormatting>
  <conditionalFormatting sqref="H7:O7 H8:H9 M9:O9 L8:O8 J8">
    <cfRule type="expression" dxfId="173" priority="57" stopIfTrue="1">
      <formula>NA()</formula>
    </cfRule>
    <cfRule type="expression" dxfId="172" priority="58" stopIfTrue="1">
      <formula>NA()</formula>
    </cfRule>
    <cfRule type="expression" dxfId="171" priority="59" stopIfTrue="1">
      <formula>NA()</formula>
    </cfRule>
  </conditionalFormatting>
  <conditionalFormatting sqref="H11:H13 L11:O12 M13:O13">
    <cfRule type="expression" dxfId="170" priority="54" stopIfTrue="1">
      <formula>NA()</formula>
    </cfRule>
    <cfRule type="expression" dxfId="169" priority="55" stopIfTrue="1">
      <formula>NA()</formula>
    </cfRule>
    <cfRule type="expression" dxfId="168" priority="56" stopIfTrue="1">
      <formula>NA()</formula>
    </cfRule>
  </conditionalFormatting>
  <conditionalFormatting sqref="J12">
    <cfRule type="expression" dxfId="167" priority="51" stopIfTrue="1">
      <formula>NA()</formula>
    </cfRule>
    <cfRule type="expression" dxfId="166" priority="52" stopIfTrue="1">
      <formula>NA()</formula>
    </cfRule>
    <cfRule type="expression" dxfId="165" priority="53" stopIfTrue="1">
      <formula>NA()</formula>
    </cfRule>
  </conditionalFormatting>
  <conditionalFormatting sqref="K8">
    <cfRule type="expression" dxfId="164" priority="48" stopIfTrue="1">
      <formula>NA()</formula>
    </cfRule>
    <cfRule type="expression" dxfId="163" priority="49" stopIfTrue="1">
      <formula>NA()</formula>
    </cfRule>
    <cfRule type="expression" dxfId="162" priority="50" stopIfTrue="1">
      <formula>NA()</formula>
    </cfRule>
  </conditionalFormatting>
  <conditionalFormatting sqref="K11">
    <cfRule type="expression" dxfId="161" priority="45" stopIfTrue="1">
      <formula>NA()</formula>
    </cfRule>
    <cfRule type="expression" dxfId="160" priority="46" stopIfTrue="1">
      <formula>NA()</formula>
    </cfRule>
    <cfRule type="expression" dxfId="159" priority="47" stopIfTrue="1">
      <formula>NA()</formula>
    </cfRule>
  </conditionalFormatting>
  <conditionalFormatting sqref="M16:O18">
    <cfRule type="expression" dxfId="158" priority="43" stopIfTrue="1">
      <formula>NA()</formula>
    </cfRule>
    <cfRule type="expression" dxfId="157" priority="44" stopIfTrue="1">
      <formula>NA()</formula>
    </cfRule>
  </conditionalFormatting>
  <conditionalFormatting sqref="M15:O15">
    <cfRule type="expression" dxfId="156" priority="41" stopIfTrue="1">
      <formula>NA()</formula>
    </cfRule>
    <cfRule type="expression" dxfId="155" priority="42" stopIfTrue="1">
      <formula>NA()</formula>
    </cfRule>
  </conditionalFormatting>
  <conditionalFormatting sqref="M15:O15">
    <cfRule type="expression" dxfId="154" priority="39" stopIfTrue="1">
      <formula>NA()</formula>
    </cfRule>
    <cfRule type="expression" dxfId="153" priority="40" stopIfTrue="1">
      <formula>NA()</formula>
    </cfRule>
  </conditionalFormatting>
  <conditionalFormatting sqref="J21:O21 H28:H37 M22:O24">
    <cfRule type="expression" dxfId="152" priority="37" stopIfTrue="1">
      <formula>NA()</formula>
    </cfRule>
    <cfRule type="expression" dxfId="151" priority="38" stopIfTrue="1">
      <formula>NA()</formula>
    </cfRule>
  </conditionalFormatting>
  <conditionalFormatting sqref="J21:O21 M22:O24">
    <cfRule type="expression" dxfId="150" priority="35" stopIfTrue="1">
      <formula>NA()</formula>
    </cfRule>
    <cfRule type="expression" dxfId="149" priority="36" stopIfTrue="1">
      <formula>NA()</formula>
    </cfRule>
  </conditionalFormatting>
  <conditionalFormatting sqref="J22:L23 I25:I37 L24">
    <cfRule type="expression" dxfId="148" priority="33" stopIfTrue="1">
      <formula>NA()</formula>
    </cfRule>
    <cfRule type="expression" dxfId="147" priority="34" stopIfTrue="1">
      <formula>NA()</formula>
    </cfRule>
  </conditionalFormatting>
  <conditionalFormatting sqref="J22:L23 I25:I37 L24">
    <cfRule type="expression" dxfId="146" priority="31" stopIfTrue="1">
      <formula>NA()</formula>
    </cfRule>
    <cfRule type="expression" dxfId="145" priority="32" stopIfTrue="1">
      <formula>NA()</formula>
    </cfRule>
  </conditionalFormatting>
  <conditionalFormatting sqref="H28:H37">
    <cfRule type="expression" dxfId="144" priority="29" stopIfTrue="1">
      <formula>NA()</formula>
    </cfRule>
    <cfRule type="expression" dxfId="143" priority="30" stopIfTrue="1">
      <formula>NA()</formula>
    </cfRule>
  </conditionalFormatting>
  <conditionalFormatting sqref="H25:H26">
    <cfRule type="expression" dxfId="142" priority="27" stopIfTrue="1">
      <formula>NA()</formula>
    </cfRule>
    <cfRule type="expression" dxfId="141" priority="28" stopIfTrue="1">
      <formula>NA()</formula>
    </cfRule>
  </conditionalFormatting>
  <conditionalFormatting sqref="H25:H26">
    <cfRule type="expression" dxfId="140" priority="25" stopIfTrue="1">
      <formula>NA()</formula>
    </cfRule>
    <cfRule type="expression" dxfId="139" priority="26" stopIfTrue="1">
      <formula>NA()</formula>
    </cfRule>
  </conditionalFormatting>
  <conditionalFormatting sqref="H27:H37">
    <cfRule type="expression" dxfId="138" priority="23" stopIfTrue="1">
      <formula>NA()</formula>
    </cfRule>
    <cfRule type="expression" dxfId="137" priority="24" stopIfTrue="1">
      <formula>NA()</formula>
    </cfRule>
  </conditionalFormatting>
  <conditionalFormatting sqref="O25:O27">
    <cfRule type="expression" dxfId="136" priority="21" stopIfTrue="1">
      <formula>NA()</formula>
    </cfRule>
    <cfRule type="expression" dxfId="135" priority="22" stopIfTrue="1">
      <formula>NA()</formula>
    </cfRule>
  </conditionalFormatting>
  <conditionalFormatting sqref="O25:O27">
    <cfRule type="expression" dxfId="134" priority="19" stopIfTrue="1">
      <formula>NA()</formula>
    </cfRule>
    <cfRule type="expression" dxfId="133" priority="20" stopIfTrue="1">
      <formula>NA()</formula>
    </cfRule>
  </conditionalFormatting>
  <conditionalFormatting sqref="N26:O26 O25 O27:O28">
    <cfRule type="expression" dxfId="132" priority="17" stopIfTrue="1">
      <formula>NA()</formula>
    </cfRule>
    <cfRule type="expression" dxfId="131" priority="18" stopIfTrue="1">
      <formula>NA()</formula>
    </cfRule>
  </conditionalFormatting>
  <conditionalFormatting sqref="N26:O26 O25 O27:O28">
    <cfRule type="expression" dxfId="130" priority="15" stopIfTrue="1">
      <formula>NA()</formula>
    </cfRule>
    <cfRule type="expression" dxfId="129" priority="16" stopIfTrue="1">
      <formula>NA()</formula>
    </cfRule>
  </conditionalFormatting>
  <conditionalFormatting sqref="O34:O37 O30:O32">
    <cfRule type="expression" dxfId="128" priority="13" stopIfTrue="1">
      <formula>NA()</formula>
    </cfRule>
    <cfRule type="expression" dxfId="127" priority="14" stopIfTrue="1">
      <formula>NA()</formula>
    </cfRule>
  </conditionalFormatting>
  <conditionalFormatting sqref="O34:O37 O30:O32">
    <cfRule type="expression" dxfId="126" priority="11" stopIfTrue="1">
      <formula>NA()</formula>
    </cfRule>
    <cfRule type="expression" dxfId="125" priority="12" stopIfTrue="1">
      <formula>NA()</formula>
    </cfRule>
  </conditionalFormatting>
  <conditionalFormatting sqref="M37:O37 O36 N29:N36 O30 O32:O34">
    <cfRule type="expression" dxfId="124" priority="9" stopIfTrue="1">
      <formula>NA()</formula>
    </cfRule>
    <cfRule type="expression" dxfId="123" priority="10" stopIfTrue="1">
      <formula>NA()</formula>
    </cfRule>
  </conditionalFormatting>
  <conditionalFormatting sqref="M37:O37 O36 N29:N36 O30 O32:O34">
    <cfRule type="expression" dxfId="122" priority="7" stopIfTrue="1">
      <formula>NA()</formula>
    </cfRule>
    <cfRule type="expression" dxfId="121" priority="8" stopIfTrue="1">
      <formula>NA()</formula>
    </cfRule>
  </conditionalFormatting>
  <conditionalFormatting sqref="H38:K38">
    <cfRule type="expression" dxfId="120" priority="5" stopIfTrue="1">
      <formula>NA()</formula>
    </cfRule>
    <cfRule type="expression" dxfId="119" priority="6" stopIfTrue="1">
      <formula>NA()</formula>
    </cfRule>
  </conditionalFormatting>
  <conditionalFormatting sqref="H38">
    <cfRule type="expression" dxfId="118" priority="3" stopIfTrue="1">
      <formula>NA()</formula>
    </cfRule>
    <cfRule type="expression" dxfId="117" priority="4" stopIfTrue="1">
      <formula>NA()</formula>
    </cfRule>
  </conditionalFormatting>
  <conditionalFormatting sqref="L38:N38">
    <cfRule type="expression" dxfId="116" priority="1" stopIfTrue="1">
      <formula>NA()</formula>
    </cfRule>
    <cfRule type="expression" dxfId="115" priority="2" stopIfTrue="1">
      <formula>NA()</formula>
    </cfRule>
  </conditionalFormatting>
  <dataValidations count="11">
    <dataValidation allowBlank="1" showInputMessage="1" showErrorMessage="1" promptTitle="Condition Type" prompt="N : Normal _x000a_A : Abnormal _x000a_B : Boundary" sqref="G38"/>
    <dataValidation allowBlank="1" showInputMessage="1" showErrorMessage="1" promptTitle="Enter" prompt="Name of the person who performed the test" sqref="G39"/>
    <dataValidation allowBlank="1" showInputMessage="1" showErrorMessage="1" promptTitle="Testing Date" prompt="Date on which test was performed in yyyy/mm/dd format" sqref="G40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1"/>
    <dataValidation allowBlank="1" showInputMessage="1" showErrorMessage="1" promptTitle="Bug ID" prompt="Unique ID throughout the project._x000a_For every Bug found during Test as well as Re-Test, a new Bug ID needs to be entered here (as a comma seperated value)" sqref="B42:E42"/>
    <dataValidation allowBlank="1" showInputMessage="1" showErrorMessage="1" promptTitle="PCL sheet name" prompt=" " sqref="F42:G42"/>
    <dataValidation type="list" allowBlank="1" showInputMessage="1" showErrorMessage="1" sqref="H41:AF41">
      <formula1>"OK, NG, NA, PT"</formula1>
    </dataValidation>
    <dataValidation type="list" allowBlank="1" showInputMessage="1" showErrorMessage="1" sqref="P38:AF38">
      <formula1>"N, A, B"</formula1>
    </dataValidation>
    <dataValidation allowBlank="1" showInputMessage="1" showErrorMessage="1" promptTitle="Check points" prompt="that need / need not be executed" sqref="A19:A37"/>
    <dataValidation allowBlank="1" showInputMessage="1" showErrorMessage="1" promptTitle="Input conditions" prompt="that need to be checked." sqref="A4:A18"/>
    <dataValidation type="list" operator="equal" allowBlank="1" showErrorMessage="1" sqref="H38:O38">
      <formula1>"N,A,B"</formula1>
      <formula2>0</formula2>
    </dataValidation>
  </dataValidations>
  <hyperlinks>
    <hyperlink ref="D12" r:id="rId1"/>
    <hyperlink ref="D13" r:id="rId2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3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19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9" sqref="H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76" t="s">
        <v>64</v>
      </c>
      <c r="C1" s="177"/>
      <c r="D1" s="177"/>
      <c r="E1" s="178"/>
      <c r="F1" s="176" t="s">
        <v>131</v>
      </c>
      <c r="G1" s="177"/>
      <c r="H1" s="177"/>
      <c r="I1" s="177"/>
      <c r="J1" s="177"/>
      <c r="K1" s="177"/>
      <c r="L1" s="177"/>
      <c r="M1" s="177"/>
      <c r="N1" s="177"/>
      <c r="O1" s="178"/>
      <c r="P1" s="187" t="s">
        <v>0</v>
      </c>
      <c r="Q1" s="188"/>
      <c r="R1" s="188"/>
      <c r="S1" s="189"/>
      <c r="T1" s="176" t="s">
        <v>66</v>
      </c>
      <c r="U1" s="177"/>
      <c r="V1" s="177"/>
      <c r="W1" s="177"/>
      <c r="X1" s="177"/>
      <c r="Y1" s="177"/>
      <c r="Z1" s="178"/>
      <c r="AA1" s="179" t="s">
        <v>11</v>
      </c>
      <c r="AB1" s="179"/>
      <c r="AC1" s="180">
        <v>43710</v>
      </c>
      <c r="AD1" s="180"/>
      <c r="AE1" s="180"/>
      <c r="AF1" s="181"/>
    </row>
    <row r="2" spans="1:32" ht="20.100000000000001" customHeight="1" thickBot="1">
      <c r="A2" s="64" t="s">
        <v>4</v>
      </c>
      <c r="B2" s="182" t="s">
        <v>130</v>
      </c>
      <c r="C2" s="183"/>
      <c r="D2" s="183"/>
      <c r="E2" s="184"/>
      <c r="F2" s="182" t="s">
        <v>69</v>
      </c>
      <c r="G2" s="183"/>
      <c r="H2" s="184"/>
      <c r="I2" s="172" t="s">
        <v>69</v>
      </c>
      <c r="J2" s="173"/>
      <c r="K2" s="173"/>
      <c r="L2" s="173"/>
      <c r="M2" s="173"/>
      <c r="N2" s="173"/>
      <c r="O2" s="174"/>
      <c r="P2" s="182"/>
      <c r="Q2" s="183"/>
      <c r="R2" s="183"/>
      <c r="S2" s="183"/>
      <c r="T2" s="183"/>
      <c r="U2" s="183"/>
      <c r="V2" s="183"/>
      <c r="W2" s="183"/>
      <c r="X2" s="183"/>
      <c r="Y2" s="183"/>
      <c r="Z2" s="184"/>
      <c r="AA2" s="185" t="s">
        <v>13</v>
      </c>
      <c r="AB2" s="186"/>
      <c r="AC2" s="182" t="s">
        <v>14</v>
      </c>
      <c r="AD2" s="183"/>
      <c r="AE2" s="183"/>
      <c r="AF2" s="190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IF(COUNTA(H4:H13)&gt;0,1,"")</f>
        <v>1</v>
      </c>
      <c r="I3" s="12" t="str">
        <f t="shared" ref="I3:AF3" si="0">IF(COUNTA(I4:I13)&gt;0,IF(H3&gt;0,H3+1,""),"")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91" t="s">
        <v>52</v>
      </c>
      <c r="B4" s="193" t="s">
        <v>71</v>
      </c>
      <c r="C4" s="193"/>
      <c r="D4" s="193"/>
      <c r="E4" s="193"/>
      <c r="F4" s="193"/>
      <c r="G4" s="193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92"/>
      <c r="B5" s="194" t="s">
        <v>132</v>
      </c>
      <c r="C5" s="195"/>
      <c r="D5" s="195"/>
      <c r="E5" s="195"/>
      <c r="F5" s="195"/>
      <c r="G5" s="195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192"/>
      <c r="B6" s="21"/>
      <c r="C6" s="240" t="s">
        <v>133</v>
      </c>
      <c r="D6" s="240"/>
      <c r="E6" s="240"/>
      <c r="F6" s="240"/>
      <c r="G6" s="240"/>
      <c r="H6" s="107" t="s">
        <v>92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08" t="s">
        <v>53</v>
      </c>
      <c r="B7" s="221" t="s">
        <v>79</v>
      </c>
      <c r="C7" s="221"/>
      <c r="D7" s="221"/>
      <c r="E7" s="221"/>
      <c r="F7" s="221"/>
      <c r="G7" s="221"/>
      <c r="H7" s="25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09"/>
      <c r="B8" s="76"/>
      <c r="C8" s="240" t="s">
        <v>72</v>
      </c>
      <c r="D8" s="240"/>
      <c r="E8" s="240"/>
      <c r="F8" s="240"/>
      <c r="G8" s="240"/>
      <c r="H8" s="73"/>
      <c r="I8" s="74"/>
      <c r="J8" s="74"/>
      <c r="K8" s="90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5"/>
    </row>
    <row r="9" spans="1:32" s="17" customFormat="1" ht="13.5" customHeight="1">
      <c r="A9" s="209"/>
      <c r="B9" s="222"/>
      <c r="C9" s="91"/>
      <c r="D9" s="241" t="s">
        <v>81</v>
      </c>
      <c r="E9" s="241"/>
      <c r="F9" s="241"/>
      <c r="G9" s="241"/>
      <c r="H9" s="107" t="s">
        <v>92</v>
      </c>
      <c r="I9" s="74"/>
      <c r="J9" s="74"/>
      <c r="K9" s="90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5"/>
    </row>
    <row r="10" spans="1:32" s="17" customFormat="1" ht="13.5" customHeight="1">
      <c r="A10" s="209"/>
      <c r="B10" s="222"/>
      <c r="C10" s="242" t="s">
        <v>73</v>
      </c>
      <c r="D10" s="242"/>
      <c r="E10" s="242"/>
      <c r="F10" s="242"/>
      <c r="G10" s="242"/>
      <c r="H10" s="73"/>
      <c r="I10" s="74"/>
      <c r="J10" s="74"/>
      <c r="K10" s="90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5"/>
    </row>
    <row r="11" spans="1:32" s="17" customFormat="1" ht="13.5" customHeight="1">
      <c r="A11" s="209"/>
      <c r="B11" s="222"/>
      <c r="C11" s="93"/>
      <c r="D11" s="223" t="s">
        <v>81</v>
      </c>
      <c r="E11" s="223"/>
      <c r="F11" s="223"/>
      <c r="G11" s="223"/>
      <c r="H11" s="107" t="s">
        <v>92</v>
      </c>
      <c r="I11" s="74"/>
      <c r="J11" s="74"/>
      <c r="K11" s="90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5"/>
    </row>
    <row r="12" spans="1:32" s="17" customFormat="1" ht="13.5" customHeight="1" thickBot="1">
      <c r="A12" s="209"/>
      <c r="B12" s="222"/>
      <c r="C12" s="223" t="s">
        <v>134</v>
      </c>
      <c r="D12" s="223"/>
      <c r="E12" s="223"/>
      <c r="F12" s="223"/>
      <c r="G12" s="223"/>
      <c r="H12" s="107" t="s">
        <v>92</v>
      </c>
      <c r="I12" s="74"/>
      <c r="J12" s="74"/>
      <c r="K12" s="90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5"/>
    </row>
    <row r="13" spans="1:32" s="17" customFormat="1" ht="24" customHeight="1">
      <c r="A13" s="200" t="s">
        <v>54</v>
      </c>
      <c r="B13" s="202"/>
      <c r="C13" s="203"/>
      <c r="D13" s="203"/>
      <c r="E13" s="203"/>
      <c r="F13" s="204"/>
      <c r="G13" s="35" t="s">
        <v>43</v>
      </c>
      <c r="H13" s="36" t="s">
        <v>93</v>
      </c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8"/>
    </row>
    <row r="14" spans="1:32" s="17" customFormat="1" ht="27" customHeight="1">
      <c r="A14" s="201"/>
      <c r="B14" s="205"/>
      <c r="C14" s="206"/>
      <c r="D14" s="206"/>
      <c r="E14" s="206"/>
      <c r="F14" s="207"/>
      <c r="G14" s="39" t="s">
        <v>44</v>
      </c>
      <c r="H14" s="40" t="s">
        <v>95</v>
      </c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2"/>
    </row>
    <row r="15" spans="1:32" s="17" customFormat="1" ht="27" customHeight="1">
      <c r="A15" s="201"/>
      <c r="B15" s="205"/>
      <c r="C15" s="206"/>
      <c r="D15" s="206"/>
      <c r="E15" s="206"/>
      <c r="F15" s="207"/>
      <c r="G15" s="39" t="s">
        <v>45</v>
      </c>
      <c r="H15" s="43">
        <v>43710</v>
      </c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5"/>
    </row>
    <row r="16" spans="1:32" s="17" customFormat="1" ht="24.75" customHeight="1">
      <c r="A16" s="201"/>
      <c r="B16" s="205" t="s">
        <v>97</v>
      </c>
      <c r="C16" s="206"/>
      <c r="D16" s="206"/>
      <c r="E16" s="206"/>
      <c r="F16" s="207"/>
      <c r="G16" s="46" t="s">
        <v>1</v>
      </c>
      <c r="H16" s="40" t="s">
        <v>96</v>
      </c>
      <c r="I16" s="41"/>
      <c r="J16" s="41"/>
      <c r="K16" s="41"/>
      <c r="L16" s="41"/>
      <c r="M16" s="41"/>
      <c r="N16" s="69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2"/>
    </row>
    <row r="17" spans="1:32" s="17" customFormat="1" ht="24.75" customHeight="1">
      <c r="A17" s="167" t="s">
        <v>55</v>
      </c>
      <c r="B17" s="169" t="s">
        <v>47</v>
      </c>
      <c r="C17" s="169"/>
      <c r="D17" s="169"/>
      <c r="E17" s="169"/>
      <c r="F17" s="170" t="str">
        <f>GetBugSheetName()</f>
        <v>Template_</v>
      </c>
      <c r="G17" s="171"/>
      <c r="H17" s="60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4"/>
    </row>
    <row r="18" spans="1:32" s="17" customFormat="1" ht="36" customHeight="1" thickBot="1">
      <c r="A18" s="168"/>
      <c r="B18" s="172" t="s">
        <v>31</v>
      </c>
      <c r="C18" s="173"/>
      <c r="D18" s="173"/>
      <c r="E18" s="174"/>
      <c r="F18" s="172"/>
      <c r="G18" s="175"/>
      <c r="H18" s="6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 t="str">
        <f t="shared" ref="S18:AF18" si="1">IF(S17="","",(SUM(LEN(S17)-LEN(SUBSTITUTE(S17,",","")))/LEN(",")) + 1 )</f>
        <v/>
      </c>
      <c r="T18" s="55" t="str">
        <f t="shared" si="1"/>
        <v/>
      </c>
      <c r="U18" s="55" t="str">
        <f t="shared" si="1"/>
        <v/>
      </c>
      <c r="V18" s="55" t="str">
        <f t="shared" si="1"/>
        <v/>
      </c>
      <c r="W18" s="55" t="str">
        <f t="shared" si="1"/>
        <v/>
      </c>
      <c r="X18" s="55" t="str">
        <f t="shared" si="1"/>
        <v/>
      </c>
      <c r="Y18" s="55" t="str">
        <f t="shared" si="1"/>
        <v/>
      </c>
      <c r="Z18" s="55" t="str">
        <f t="shared" si="1"/>
        <v/>
      </c>
      <c r="AA18" s="55" t="str">
        <f t="shared" si="1"/>
        <v/>
      </c>
      <c r="AB18" s="55" t="str">
        <f t="shared" si="1"/>
        <v/>
      </c>
      <c r="AC18" s="55" t="str">
        <f t="shared" si="1"/>
        <v/>
      </c>
      <c r="AD18" s="55" t="str">
        <f t="shared" si="1"/>
        <v/>
      </c>
      <c r="AE18" s="55" t="str">
        <f t="shared" si="1"/>
        <v/>
      </c>
      <c r="AF18" s="56" t="str">
        <f t="shared" si="1"/>
        <v/>
      </c>
    </row>
    <row r="19" spans="1:32" s="17" customFormat="1">
      <c r="H19" s="47"/>
      <c r="I19" s="47"/>
      <c r="J19" s="47"/>
      <c r="K19" s="47"/>
      <c r="L19" s="47"/>
      <c r="M19" s="47"/>
      <c r="N19" s="48"/>
      <c r="O19" s="49"/>
      <c r="P19" s="47"/>
      <c r="Q19" s="47"/>
      <c r="R19" s="47"/>
      <c r="S19" s="47"/>
      <c r="T19" s="47"/>
      <c r="U19" s="47"/>
      <c r="V19" s="47"/>
    </row>
  </sheetData>
  <sheetProtection insertRows="0"/>
  <protectedRanges>
    <protectedRange sqref="B4:G12" name="Range2_1"/>
    <protectedRange sqref="B1:O2 P2 T1 AC1:AF2" name="Range1_1"/>
    <protectedRange sqref="H13:AF17" name="Range3_1_1"/>
    <protectedRange sqref="H4:AF12" name="Range2_1_1"/>
  </protectedRanges>
  <mergeCells count="34">
    <mergeCell ref="A13:A16"/>
    <mergeCell ref="B13:F13"/>
    <mergeCell ref="B14:F14"/>
    <mergeCell ref="B15:F15"/>
    <mergeCell ref="B16:F16"/>
    <mergeCell ref="A17:A18"/>
    <mergeCell ref="B17:E17"/>
    <mergeCell ref="F17:G17"/>
    <mergeCell ref="B18:E18"/>
    <mergeCell ref="F18:G18"/>
    <mergeCell ref="A7:A12"/>
    <mergeCell ref="B7:G7"/>
    <mergeCell ref="A4:A6"/>
    <mergeCell ref="B4:G4"/>
    <mergeCell ref="B5:G5"/>
    <mergeCell ref="C6:G6"/>
    <mergeCell ref="C8:G8"/>
    <mergeCell ref="B9:B12"/>
    <mergeCell ref="D9:G9"/>
    <mergeCell ref="C10:G10"/>
    <mergeCell ref="D11:G11"/>
    <mergeCell ref="C12:G12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phoneticPr fontId="3"/>
  <conditionalFormatting sqref="H3:AF18">
    <cfRule type="expression" dxfId="114" priority="107" stopIfTrue="1">
      <formula>H$16="NA"</formula>
    </cfRule>
    <cfRule type="expression" dxfId="113" priority="108" stopIfTrue="1">
      <formula>H$16="NG"</formula>
    </cfRule>
  </conditionalFormatting>
  <conditionalFormatting sqref="H6">
    <cfRule type="expression" dxfId="112" priority="10" stopIfTrue="1">
      <formula>NA()</formula>
    </cfRule>
    <cfRule type="expression" dxfId="111" priority="11" stopIfTrue="1">
      <formula>NA()</formula>
    </cfRule>
    <cfRule type="expression" dxfId="110" priority="12" stopIfTrue="1">
      <formula>NA()</formula>
    </cfRule>
  </conditionalFormatting>
  <conditionalFormatting sqref="H6 H9">
    <cfRule type="expression" dxfId="109" priority="7" stopIfTrue="1">
      <formula>NA()</formula>
    </cfRule>
    <cfRule type="expression" dxfId="108" priority="8" stopIfTrue="1">
      <formula>NA()</formula>
    </cfRule>
    <cfRule type="expression" dxfId="107" priority="9" stopIfTrue="1">
      <formula>NA()</formula>
    </cfRule>
  </conditionalFormatting>
  <conditionalFormatting sqref="H6 H9 H11">
    <cfRule type="expression" dxfId="106" priority="4" stopIfTrue="1">
      <formula>NA()</formula>
    </cfRule>
    <cfRule type="expression" dxfId="105" priority="5" stopIfTrue="1">
      <formula>NA()</formula>
    </cfRule>
    <cfRule type="expression" dxfId="104" priority="6" stopIfTrue="1">
      <formula>NA()</formula>
    </cfRule>
  </conditionalFormatting>
  <conditionalFormatting sqref="H6 H9 H11:H12">
    <cfRule type="expression" dxfId="103" priority="1" stopIfTrue="1">
      <formula>NA()</formula>
    </cfRule>
    <cfRule type="expression" dxfId="102" priority="2" stopIfTrue="1">
      <formula>NA()</formula>
    </cfRule>
    <cfRule type="expression" dxfId="101" priority="3" stopIfTrue="1">
      <formula>NA()</formula>
    </cfRule>
  </conditionalFormatting>
  <dataValidations count="10">
    <dataValidation allowBlank="1" showInputMessage="1" showErrorMessage="1" promptTitle="Condition Type" prompt="N : Normal _x000a_A : Abnormal _x000a_B : Boundary" sqref="G13"/>
    <dataValidation allowBlank="1" showInputMessage="1" showErrorMessage="1" promptTitle="Enter" prompt="Name of the person who performed the test" sqref="G14"/>
    <dataValidation allowBlank="1" showInputMessage="1" showErrorMessage="1" promptTitle="Testing Date" prompt="Date on which test was performed in yyyy/mm/dd format" sqref="G1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6"/>
    <dataValidation allowBlank="1" showInputMessage="1" showErrorMessage="1" promptTitle="Bug ID" prompt="Unique ID throughout the project._x000a_For every Bug found during Test as well as Re-Test, a new Bug ID needs to be entered here (as a comma seperated value)" sqref="B17:E17"/>
    <dataValidation allowBlank="1" showInputMessage="1" showErrorMessage="1" promptTitle="PCL sheet name" prompt=" " sqref="F17:G17"/>
    <dataValidation type="list" allowBlank="1" showInputMessage="1" showErrorMessage="1" sqref="H16:AF16">
      <formula1>"OK, NG, NA, PT"</formula1>
    </dataValidation>
    <dataValidation type="list" allowBlank="1" showInputMessage="1" showErrorMessage="1" sqref="H13:AF13">
      <formula1>"N, A, B"</formula1>
    </dataValidation>
    <dataValidation allowBlank="1" showInputMessage="1" showErrorMessage="1" promptTitle="Check points" prompt="that need / need not be executed" sqref="A7:A12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F20"/>
  <sheetViews>
    <sheetView tabSelected="1"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17" sqref="H17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76" t="s">
        <v>64</v>
      </c>
      <c r="C1" s="177"/>
      <c r="D1" s="177"/>
      <c r="E1" s="178"/>
      <c r="F1" s="176" t="s">
        <v>65</v>
      </c>
      <c r="G1" s="177"/>
      <c r="H1" s="177"/>
      <c r="I1" s="177"/>
      <c r="J1" s="177"/>
      <c r="K1" s="177"/>
      <c r="L1" s="177"/>
      <c r="M1" s="177"/>
      <c r="N1" s="177"/>
      <c r="O1" s="178"/>
      <c r="P1" s="187" t="s">
        <v>0</v>
      </c>
      <c r="Q1" s="188"/>
      <c r="R1" s="188"/>
      <c r="S1" s="189"/>
      <c r="T1" s="176" t="s">
        <v>66</v>
      </c>
      <c r="U1" s="177"/>
      <c r="V1" s="177"/>
      <c r="W1" s="177"/>
      <c r="X1" s="177"/>
      <c r="Y1" s="177"/>
      <c r="Z1" s="178"/>
      <c r="AA1" s="179" t="s">
        <v>11</v>
      </c>
      <c r="AB1" s="179"/>
      <c r="AC1" s="180">
        <v>43722</v>
      </c>
      <c r="AD1" s="180"/>
      <c r="AE1" s="180"/>
      <c r="AF1" s="181"/>
    </row>
    <row r="2" spans="1:32" ht="20.100000000000001" customHeight="1" thickBot="1">
      <c r="A2" s="64" t="s">
        <v>4</v>
      </c>
      <c r="B2" s="182" t="s">
        <v>140</v>
      </c>
      <c r="C2" s="183"/>
      <c r="D2" s="183"/>
      <c r="E2" s="184"/>
      <c r="F2" s="182" t="s">
        <v>141</v>
      </c>
      <c r="G2" s="183"/>
      <c r="H2" s="184"/>
      <c r="I2" s="172" t="s">
        <v>140</v>
      </c>
      <c r="J2" s="173"/>
      <c r="K2" s="173"/>
      <c r="L2" s="173"/>
      <c r="M2" s="173"/>
      <c r="N2" s="173"/>
      <c r="O2" s="174"/>
      <c r="P2" s="182"/>
      <c r="Q2" s="183"/>
      <c r="R2" s="183"/>
      <c r="S2" s="183"/>
      <c r="T2" s="183"/>
      <c r="U2" s="183"/>
      <c r="V2" s="183"/>
      <c r="W2" s="183"/>
      <c r="X2" s="183"/>
      <c r="Y2" s="183"/>
      <c r="Z2" s="184"/>
      <c r="AA2" s="185" t="s">
        <v>13</v>
      </c>
      <c r="AB2" s="186"/>
      <c r="AC2" s="182" t="s">
        <v>14</v>
      </c>
      <c r="AD2" s="183"/>
      <c r="AE2" s="183"/>
      <c r="AF2" s="190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IF(COUNTA(H4:H14)&gt;0,1,"")</f>
        <v>1</v>
      </c>
      <c r="I3" s="12" t="str">
        <f>IF(COUNTA(I4:I14)&gt;0,IF(H3&gt;0,H3+1,""),"")</f>
        <v/>
      </c>
      <c r="J3" s="12" t="str">
        <f>IF(COUNTA(J4:J14)&gt;0,IF(I3&gt;0,I3+1,""),"")</f>
        <v/>
      </c>
      <c r="K3" s="12" t="str">
        <f>IF(COUNTA(K4:K14)&gt;0,IF(J3&gt;0,J3+1,""),"")</f>
        <v/>
      </c>
      <c r="L3" s="12" t="str">
        <f>IF(COUNTA(L4:L14)&gt;0,IF(K3&gt;0,K3+1,""),"")</f>
        <v/>
      </c>
      <c r="M3" s="12" t="str">
        <f>IF(COUNTA(M4:M14)&gt;0,IF(L3&gt;0,L3+1,""),"")</f>
        <v/>
      </c>
      <c r="N3" s="12" t="str">
        <f>IF(COUNTA(N4:N14)&gt;0,IF(M3&gt;0,M3+1,""),"")</f>
        <v/>
      </c>
      <c r="O3" s="12" t="str">
        <f>IF(COUNTA(O4:O14)&gt;0,IF(N3&gt;0,N3+1,""),"")</f>
        <v/>
      </c>
      <c r="P3" s="12" t="str">
        <f>IF(COUNTA(P4:P14)&gt;0,IF(O3&gt;0,O3+1,""),"")</f>
        <v/>
      </c>
      <c r="Q3" s="12" t="str">
        <f>IF(COUNTA(Q4:Q14)&gt;0,IF(P3&gt;0,P3+1,""),"")</f>
        <v/>
      </c>
      <c r="R3" s="12" t="str">
        <f>IF(COUNTA(R4:R14)&gt;0,IF(Q3&gt;0,Q3+1,""),"")</f>
        <v/>
      </c>
      <c r="S3" s="12" t="str">
        <f>IF(COUNTA(S4:S14)&gt;0,IF(R3&gt;0,R3+1,""),"")</f>
        <v/>
      </c>
      <c r="T3" s="12" t="str">
        <f>IF(COUNTA(T4:T14)&gt;0,IF(S3&gt;0,S3+1,""),"")</f>
        <v/>
      </c>
      <c r="U3" s="12" t="str">
        <f>IF(COUNTA(U4:U14)&gt;0,IF(T3&gt;0,T3+1,""),"")</f>
        <v/>
      </c>
      <c r="V3" s="12" t="str">
        <f>IF(COUNTA(V4:V14)&gt;0,IF(U3&gt;0,U3+1,""),"")</f>
        <v/>
      </c>
      <c r="W3" s="12" t="str">
        <f>IF(COUNTA(W4:W14)&gt;0,IF(V3&gt;0,V3+1,""),"")</f>
        <v/>
      </c>
      <c r="X3" s="12" t="str">
        <f>IF(COUNTA(X4:X14)&gt;0,IF(W3&gt;0,W3+1,""),"")</f>
        <v/>
      </c>
      <c r="Y3" s="12" t="str">
        <f>IF(COUNTA(Y4:Y14)&gt;0,IF(X3&gt;0,X3+1,""),"")</f>
        <v/>
      </c>
      <c r="Z3" s="12" t="str">
        <f>IF(COUNTA(Z4:Z14)&gt;0,IF(Y3&gt;0,Y3+1,""),"")</f>
        <v/>
      </c>
      <c r="AA3" s="12" t="str">
        <f>IF(COUNTA(AA4:AA14)&gt;0,IF(Z3&gt;0,Z3+1,""),"")</f>
        <v/>
      </c>
      <c r="AB3" s="12" t="str">
        <f>IF(COUNTA(AB4:AB14)&gt;0,IF(AA3&gt;0,AA3+1,""),"")</f>
        <v/>
      </c>
      <c r="AC3" s="12" t="str">
        <f>IF(COUNTA(AC4:AC14)&gt;0,IF(AB3&gt;0,AB3+1,""),"")</f>
        <v/>
      </c>
      <c r="AD3" s="12" t="str">
        <f>IF(COUNTA(AD4:AD14)&gt;0,IF(AC3&gt;0,AC3+1,""),"")</f>
        <v/>
      </c>
      <c r="AE3" s="12" t="str">
        <f>IF(COUNTA(AE4:AE14)&gt;0,IF(AD3&gt;0,AD3+1,""),"")</f>
        <v/>
      </c>
      <c r="AF3" s="13" t="str">
        <f>IF(COUNTA(AF4:AF14)&gt;0,IF(AE3&gt;0,AE3+1,""),"")</f>
        <v/>
      </c>
    </row>
    <row r="4" spans="1:32" s="17" customFormat="1" ht="13.5" customHeight="1">
      <c r="A4" s="191" t="s">
        <v>52</v>
      </c>
      <c r="B4" s="193" t="s">
        <v>142</v>
      </c>
      <c r="C4" s="193"/>
      <c r="D4" s="193"/>
      <c r="E4" s="193"/>
      <c r="F4" s="193"/>
      <c r="G4" s="193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92"/>
      <c r="B5" s="194" t="s">
        <v>143</v>
      </c>
      <c r="C5" s="195"/>
      <c r="D5" s="195"/>
      <c r="E5" s="195"/>
      <c r="F5" s="195"/>
      <c r="G5" s="195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192"/>
      <c r="B6" s="21"/>
      <c r="C6" s="196" t="s">
        <v>144</v>
      </c>
      <c r="D6" s="197"/>
      <c r="E6" s="197"/>
      <c r="F6" s="197"/>
      <c r="G6" s="197"/>
      <c r="H6" s="107" t="s">
        <v>92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08" t="s">
        <v>53</v>
      </c>
      <c r="B7" s="211" t="s">
        <v>26</v>
      </c>
      <c r="C7" s="193"/>
      <c r="D7" s="193"/>
      <c r="E7" s="193"/>
      <c r="F7" s="193"/>
      <c r="G7" s="193"/>
      <c r="H7" s="25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09"/>
      <c r="B8" s="28"/>
      <c r="C8" s="212" t="s">
        <v>145</v>
      </c>
      <c r="D8" s="213"/>
      <c r="E8" s="213"/>
      <c r="F8" s="213"/>
      <c r="G8" s="213"/>
      <c r="H8" s="107" t="s">
        <v>92</v>
      </c>
      <c r="I8" s="23"/>
      <c r="J8" s="23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09"/>
      <c r="B9" s="28"/>
      <c r="C9" s="196" t="s">
        <v>146</v>
      </c>
      <c r="D9" s="197"/>
      <c r="E9" s="197"/>
      <c r="F9" s="197"/>
      <c r="G9" s="197"/>
      <c r="H9" s="22"/>
      <c r="I9" s="23"/>
      <c r="J9" s="23"/>
      <c r="K9" s="62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09"/>
      <c r="B10" s="28"/>
      <c r="C10" s="109"/>
      <c r="D10" s="194" t="s">
        <v>147</v>
      </c>
      <c r="E10" s="197"/>
      <c r="F10" s="197"/>
      <c r="G10" s="197"/>
      <c r="H10" s="107" t="s">
        <v>92</v>
      </c>
      <c r="I10" s="23"/>
      <c r="J10" s="23"/>
      <c r="K10" s="62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09"/>
      <c r="B11" s="28"/>
      <c r="C11" s="196" t="s">
        <v>148</v>
      </c>
      <c r="D11" s="197"/>
      <c r="E11" s="197"/>
      <c r="F11" s="197"/>
      <c r="G11" s="197"/>
      <c r="H11" s="22"/>
      <c r="I11" s="23"/>
      <c r="J11" s="23"/>
      <c r="K11" s="62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09"/>
      <c r="B12" s="28"/>
      <c r="C12" s="109"/>
      <c r="D12" s="194" t="s">
        <v>147</v>
      </c>
      <c r="E12" s="197"/>
      <c r="F12" s="197"/>
      <c r="G12" s="197"/>
      <c r="H12" s="107" t="s">
        <v>92</v>
      </c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5" customHeight="1" thickBot="1">
      <c r="A13" s="210"/>
      <c r="B13" s="108"/>
      <c r="C13" s="215" t="s">
        <v>149</v>
      </c>
      <c r="D13" s="216"/>
      <c r="E13" s="216"/>
      <c r="F13" s="216"/>
      <c r="G13" s="216"/>
      <c r="H13" s="107" t="s">
        <v>92</v>
      </c>
      <c r="I13" s="33"/>
      <c r="J13" s="33"/>
      <c r="K13" s="70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4"/>
    </row>
    <row r="14" spans="1:32" s="17" customFormat="1" ht="24" customHeight="1">
      <c r="A14" s="200" t="s">
        <v>54</v>
      </c>
      <c r="B14" s="202"/>
      <c r="C14" s="203"/>
      <c r="D14" s="203"/>
      <c r="E14" s="203"/>
      <c r="F14" s="204"/>
      <c r="G14" s="35" t="s">
        <v>43</v>
      </c>
      <c r="H14" s="36" t="s">
        <v>93</v>
      </c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8"/>
    </row>
    <row r="15" spans="1:32" s="17" customFormat="1" ht="27" customHeight="1">
      <c r="A15" s="201"/>
      <c r="B15" s="205"/>
      <c r="C15" s="206"/>
      <c r="D15" s="206"/>
      <c r="E15" s="206"/>
      <c r="F15" s="207"/>
      <c r="G15" s="39" t="s">
        <v>44</v>
      </c>
      <c r="H15" s="40" t="s">
        <v>150</v>
      </c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42"/>
    </row>
    <row r="16" spans="1:32" s="17" customFormat="1" ht="27" customHeight="1">
      <c r="A16" s="201"/>
      <c r="B16" s="205"/>
      <c r="C16" s="206"/>
      <c r="D16" s="206"/>
      <c r="E16" s="206"/>
      <c r="F16" s="207"/>
      <c r="G16" s="39" t="s">
        <v>45</v>
      </c>
      <c r="H16" s="43">
        <v>43722</v>
      </c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5"/>
    </row>
    <row r="17" spans="1:32" s="17" customFormat="1" ht="24.75" customHeight="1">
      <c r="A17" s="201"/>
      <c r="B17" s="205" t="s">
        <v>97</v>
      </c>
      <c r="C17" s="206"/>
      <c r="D17" s="206"/>
      <c r="E17" s="206"/>
      <c r="F17" s="207"/>
      <c r="G17" s="46" t="s">
        <v>1</v>
      </c>
      <c r="H17" s="40" t="s">
        <v>96</v>
      </c>
      <c r="I17" s="110"/>
      <c r="J17" s="110"/>
      <c r="K17" s="110"/>
      <c r="L17" s="110"/>
      <c r="M17" s="110"/>
      <c r="N17" s="69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42"/>
    </row>
    <row r="18" spans="1:32" s="17" customFormat="1" ht="24.75" customHeight="1">
      <c r="A18" s="167" t="s">
        <v>55</v>
      </c>
      <c r="B18" s="169" t="s">
        <v>47</v>
      </c>
      <c r="C18" s="169"/>
      <c r="D18" s="169"/>
      <c r="E18" s="169"/>
      <c r="F18" s="170" t="str">
        <f>GetBugSheetName()</f>
        <v>Logout_Click_</v>
      </c>
      <c r="G18" s="171"/>
      <c r="H18" s="60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4"/>
    </row>
    <row r="19" spans="1:32" s="17" customFormat="1" ht="36" customHeight="1" thickBot="1">
      <c r="A19" s="168"/>
      <c r="B19" s="172" t="s">
        <v>31</v>
      </c>
      <c r="C19" s="173"/>
      <c r="D19" s="173"/>
      <c r="E19" s="174"/>
      <c r="F19" s="172"/>
      <c r="G19" s="175"/>
      <c r="H19" s="61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 t="str">
        <f t="shared" ref="S19:AF19" si="0">IF(S18="","",(SUM(LEN(S18)-LEN(SUBSTITUTE(S18,",","")))/LEN(",")) + 1 )</f>
        <v/>
      </c>
      <c r="T19" s="55" t="str">
        <f t="shared" si="0"/>
        <v/>
      </c>
      <c r="U19" s="55" t="str">
        <f t="shared" si="0"/>
        <v/>
      </c>
      <c r="V19" s="55" t="str">
        <f t="shared" si="0"/>
        <v/>
      </c>
      <c r="W19" s="55" t="str">
        <f t="shared" si="0"/>
        <v/>
      </c>
      <c r="X19" s="55" t="str">
        <f t="shared" si="0"/>
        <v/>
      </c>
      <c r="Y19" s="55" t="str">
        <f t="shared" si="0"/>
        <v/>
      </c>
      <c r="Z19" s="55" t="str">
        <f t="shared" si="0"/>
        <v/>
      </c>
      <c r="AA19" s="55" t="str">
        <f t="shared" si="0"/>
        <v/>
      </c>
      <c r="AB19" s="55" t="str">
        <f t="shared" si="0"/>
        <v/>
      </c>
      <c r="AC19" s="55" t="str">
        <f t="shared" si="0"/>
        <v/>
      </c>
      <c r="AD19" s="55" t="str">
        <f t="shared" si="0"/>
        <v/>
      </c>
      <c r="AE19" s="55" t="str">
        <f t="shared" si="0"/>
        <v/>
      </c>
      <c r="AF19" s="56" t="str">
        <f t="shared" si="0"/>
        <v/>
      </c>
    </row>
    <row r="20" spans="1:32" s="17" customFormat="1">
      <c r="H20" s="47"/>
      <c r="I20" s="47"/>
      <c r="J20" s="47"/>
      <c r="K20" s="47"/>
      <c r="L20" s="47"/>
      <c r="M20" s="47"/>
      <c r="N20" s="48"/>
      <c r="O20" s="49"/>
      <c r="P20" s="47"/>
      <c r="Q20" s="47"/>
      <c r="R20" s="47"/>
      <c r="S20" s="47"/>
      <c r="T20" s="47"/>
      <c r="U20" s="47"/>
      <c r="V20" s="47"/>
    </row>
  </sheetData>
  <sheetProtection insertRows="0"/>
  <protectedRanges>
    <protectedRange sqref="B4:G13" name="Range2_1"/>
    <protectedRange sqref="B1:O2 P2 T1 AC1:AF2" name="Range1_1"/>
    <protectedRange sqref="H14:AF18" name="Range3_1_1"/>
    <protectedRange sqref="H4:AF5 H7:AF7 I6:AF6 H9:AF9 I8:AF8 H11:AF11 I10:AF10 I13:AF13 I12:AF12" name="Range2_1_1"/>
    <protectedRange sqref="H6" name="Range2_1_1_1"/>
    <protectedRange sqref="H8" name="Range2_1_1_2"/>
    <protectedRange sqref="H10" name="Range2_1_1_3"/>
    <protectedRange sqref="H12" name="Range2_1_1_4"/>
    <protectedRange sqref="H13" name="Range2_1_1_5"/>
  </protectedRanges>
  <mergeCells count="34">
    <mergeCell ref="C9:G9"/>
    <mergeCell ref="D10:G10"/>
    <mergeCell ref="C11:G11"/>
    <mergeCell ref="D12:G12"/>
    <mergeCell ref="A14:A17"/>
    <mergeCell ref="B14:F14"/>
    <mergeCell ref="B15:F15"/>
    <mergeCell ref="B16:F16"/>
    <mergeCell ref="B17:F17"/>
    <mergeCell ref="A18:A19"/>
    <mergeCell ref="B18:E18"/>
    <mergeCell ref="F18:G18"/>
    <mergeCell ref="B19:E19"/>
    <mergeCell ref="F19:G19"/>
    <mergeCell ref="C13:G13"/>
    <mergeCell ref="A7:A13"/>
    <mergeCell ref="B7:G7"/>
    <mergeCell ref="C8:G8"/>
    <mergeCell ref="A4:A6"/>
    <mergeCell ref="B4:G4"/>
    <mergeCell ref="B5:G5"/>
    <mergeCell ref="C6:G6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3"/>
  <conditionalFormatting sqref="H3:AF19">
    <cfRule type="expression" dxfId="99" priority="80" stopIfTrue="1">
      <formula>H$17="NA"</formula>
    </cfRule>
    <cfRule type="expression" dxfId="98" priority="81" stopIfTrue="1">
      <formula>H$17="NG"</formula>
    </cfRule>
  </conditionalFormatting>
  <conditionalFormatting sqref="H6">
    <cfRule type="expression" dxfId="97" priority="48" stopIfTrue="1">
      <formula>H$16="NA"</formula>
    </cfRule>
    <cfRule type="expression" dxfId="96" priority="49" stopIfTrue="1">
      <formula>H$16="NG"</formula>
    </cfRule>
  </conditionalFormatting>
  <conditionalFormatting sqref="H6">
    <cfRule type="expression" dxfId="93" priority="45" stopIfTrue="1">
      <formula>NA()</formula>
    </cfRule>
    <cfRule type="expression" dxfId="92" priority="46" stopIfTrue="1">
      <formula>NA()</formula>
    </cfRule>
    <cfRule type="expression" dxfId="91" priority="47" stopIfTrue="1">
      <formula>NA()</formula>
    </cfRule>
  </conditionalFormatting>
  <conditionalFormatting sqref="H8">
    <cfRule type="expression" dxfId="87" priority="43" stopIfTrue="1">
      <formula>H$16="NA"</formula>
    </cfRule>
    <cfRule type="expression" dxfId="86" priority="44" stopIfTrue="1">
      <formula>H$16="NG"</formula>
    </cfRule>
  </conditionalFormatting>
  <conditionalFormatting sqref="H8">
    <cfRule type="expression" dxfId="83" priority="40" stopIfTrue="1">
      <formula>NA()</formula>
    </cfRule>
    <cfRule type="expression" dxfId="82" priority="41" stopIfTrue="1">
      <formula>NA()</formula>
    </cfRule>
    <cfRule type="expression" dxfId="81" priority="42" stopIfTrue="1">
      <formula>NA()</formula>
    </cfRule>
  </conditionalFormatting>
  <conditionalFormatting sqref="H8">
    <cfRule type="expression" dxfId="77" priority="37" stopIfTrue="1">
      <formula>NA()</formula>
    </cfRule>
    <cfRule type="expression" dxfId="76" priority="38" stopIfTrue="1">
      <formula>NA()</formula>
    </cfRule>
    <cfRule type="expression" dxfId="75" priority="39" stopIfTrue="1">
      <formula>NA()</formula>
    </cfRule>
  </conditionalFormatting>
  <conditionalFormatting sqref="H8">
    <cfRule type="expression" dxfId="71" priority="34" stopIfTrue="1">
      <formula>NA()</formula>
    </cfRule>
    <cfRule type="expression" dxfId="70" priority="35" stopIfTrue="1">
      <formula>NA()</formula>
    </cfRule>
    <cfRule type="expression" dxfId="69" priority="36" stopIfTrue="1">
      <formula>NA()</formula>
    </cfRule>
  </conditionalFormatting>
  <conditionalFormatting sqref="H10">
    <cfRule type="expression" dxfId="65" priority="32" stopIfTrue="1">
      <formula>H$16="NA"</formula>
    </cfRule>
    <cfRule type="expression" dxfId="64" priority="33" stopIfTrue="1">
      <formula>H$16="NG"</formula>
    </cfRule>
  </conditionalFormatting>
  <conditionalFormatting sqref="H10">
    <cfRule type="expression" dxfId="61" priority="29" stopIfTrue="1">
      <formula>NA()</formula>
    </cfRule>
    <cfRule type="expression" dxfId="60" priority="30" stopIfTrue="1">
      <formula>NA()</formula>
    </cfRule>
    <cfRule type="expression" dxfId="59" priority="31" stopIfTrue="1">
      <formula>NA()</formula>
    </cfRule>
  </conditionalFormatting>
  <conditionalFormatting sqref="H10">
    <cfRule type="expression" dxfId="55" priority="26" stopIfTrue="1">
      <formula>NA()</formula>
    </cfRule>
    <cfRule type="expression" dxfId="54" priority="27" stopIfTrue="1">
      <formula>NA()</formula>
    </cfRule>
    <cfRule type="expression" dxfId="53" priority="28" stopIfTrue="1">
      <formula>NA()</formula>
    </cfRule>
  </conditionalFormatting>
  <conditionalFormatting sqref="H10">
    <cfRule type="expression" dxfId="49" priority="23" stopIfTrue="1">
      <formula>NA()</formula>
    </cfRule>
    <cfRule type="expression" dxfId="48" priority="24" stopIfTrue="1">
      <formula>NA()</formula>
    </cfRule>
    <cfRule type="expression" dxfId="47" priority="25" stopIfTrue="1">
      <formula>NA()</formula>
    </cfRule>
  </conditionalFormatting>
  <conditionalFormatting sqref="H12">
    <cfRule type="expression" dxfId="43" priority="21" stopIfTrue="1">
      <formula>H$16="NA"</formula>
    </cfRule>
    <cfRule type="expression" dxfId="42" priority="22" stopIfTrue="1">
      <formula>H$16="NG"</formula>
    </cfRule>
  </conditionalFormatting>
  <conditionalFormatting sqref="H12">
    <cfRule type="expression" dxfId="39" priority="18" stopIfTrue="1">
      <formula>NA()</formula>
    </cfRule>
    <cfRule type="expression" dxfId="38" priority="19" stopIfTrue="1">
      <formula>NA()</formula>
    </cfRule>
    <cfRule type="expression" dxfId="37" priority="20" stopIfTrue="1">
      <formula>NA()</formula>
    </cfRule>
  </conditionalFormatting>
  <conditionalFormatting sqref="H12">
    <cfRule type="expression" dxfId="33" priority="15" stopIfTrue="1">
      <formula>NA()</formula>
    </cfRule>
    <cfRule type="expression" dxfId="32" priority="16" stopIfTrue="1">
      <formula>NA()</formula>
    </cfRule>
    <cfRule type="expression" dxfId="31" priority="17" stopIfTrue="1">
      <formula>NA()</formula>
    </cfRule>
  </conditionalFormatting>
  <conditionalFormatting sqref="H12">
    <cfRule type="expression" dxfId="27" priority="12" stopIfTrue="1">
      <formula>NA()</formula>
    </cfRule>
    <cfRule type="expression" dxfId="26" priority="13" stopIfTrue="1">
      <formula>NA()</formula>
    </cfRule>
    <cfRule type="expression" dxfId="25" priority="14" stopIfTrue="1">
      <formula>NA()</formula>
    </cfRule>
  </conditionalFormatting>
  <conditionalFormatting sqref="H13">
    <cfRule type="expression" dxfId="21" priority="10" stopIfTrue="1">
      <formula>H$16="NA"</formula>
    </cfRule>
    <cfRule type="expression" dxfId="20" priority="11" stopIfTrue="1">
      <formula>H$16="NG"</formula>
    </cfRule>
  </conditionalFormatting>
  <conditionalFormatting sqref="H13">
    <cfRule type="expression" dxfId="17" priority="7" stopIfTrue="1">
      <formula>NA()</formula>
    </cfRule>
    <cfRule type="expression" dxfId="16" priority="8" stopIfTrue="1">
      <formula>NA()</formula>
    </cfRule>
    <cfRule type="expression" dxfId="15" priority="9" stopIfTrue="1">
      <formula>NA()</formula>
    </cfRule>
  </conditionalFormatting>
  <conditionalFormatting sqref="H13">
    <cfRule type="expression" dxfId="11" priority="4" stopIfTrue="1">
      <formula>NA()</formula>
    </cfRule>
    <cfRule type="expression" dxfId="10" priority="5" stopIfTrue="1">
      <formula>NA()</formula>
    </cfRule>
    <cfRule type="expression" dxfId="9" priority="6" stopIfTrue="1">
      <formula>NA()</formula>
    </cfRule>
  </conditionalFormatting>
  <conditionalFormatting sqref="H13">
    <cfRule type="expression" dxfId="5" priority="1" stopIfTrue="1">
      <formula>NA()</formula>
    </cfRule>
    <cfRule type="expression" dxfId="4" priority="2" stopIfTrue="1">
      <formula>NA()</formula>
    </cfRule>
    <cfRule type="expression" dxfId="3" priority="3" stopIfTrue="1">
      <formula>NA()</formula>
    </cfRule>
  </conditionalFormatting>
  <dataValidations count="10">
    <dataValidation allowBlank="1" showInputMessage="1" showErrorMessage="1" promptTitle="Condition Type" prompt="N : Normal _x000a_A : Abnormal _x000a_B : Boundary" sqref="G14"/>
    <dataValidation allowBlank="1" showInputMessage="1" showErrorMessage="1" promptTitle="Enter" prompt="Name of the person who performed the test" sqref="G15"/>
    <dataValidation allowBlank="1" showInputMessage="1" showErrorMessage="1" promptTitle="Testing Date" prompt="Date on which test was performed in yyyy/mm/dd format" sqref="G1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7"/>
    <dataValidation allowBlank="1" showInputMessage="1" showErrorMessage="1" promptTitle="Bug ID" prompt="Unique ID throughout the project._x000a_For every Bug found during Test as well as Re-Test, a new Bug ID needs to be entered here (as a comma seperated value)" sqref="B18:E18"/>
    <dataValidation allowBlank="1" showInputMessage="1" showErrorMessage="1" promptTitle="PCL sheet name" prompt=" " sqref="F18:G18"/>
    <dataValidation type="list" allowBlank="1" showInputMessage="1" showErrorMessage="1" sqref="H17:AF17">
      <formula1>"OK, NG, NA, PT"</formula1>
    </dataValidation>
    <dataValidation type="list" allowBlank="1" showInputMessage="1" showErrorMessage="1" sqref="H14:AF14">
      <formula1>"N, A, B"</formula1>
    </dataValidation>
    <dataValidation allowBlank="1" showInputMessage="1" showErrorMessage="1" promptTitle="Check points" prompt="that need / need not be executed" sqref="A7:A13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dimension ref="A4:A266"/>
  <sheetViews>
    <sheetView topLeftCell="E334" workbookViewId="0">
      <selection activeCell="B312" sqref="B312"/>
    </sheetView>
  </sheetViews>
  <sheetFormatPr defaultRowHeight="13.5"/>
  <sheetData>
    <row r="4" spans="1:1">
      <c r="A4" s="111" t="s">
        <v>135</v>
      </c>
    </row>
    <row r="42" spans="1:1">
      <c r="A42" s="111" t="s">
        <v>136</v>
      </c>
    </row>
    <row r="176" spans="1:1">
      <c r="A176" s="111" t="s">
        <v>139</v>
      </c>
    </row>
    <row r="266" spans="1:1">
      <c r="A266" s="111" t="s">
        <v>137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Summary</vt:lpstr>
      <vt:lpstr>Template</vt:lpstr>
      <vt:lpstr>Page_load</vt:lpstr>
      <vt:lpstr>Login_Click</vt:lpstr>
      <vt:lpstr>Clear_Click</vt:lpstr>
      <vt:lpstr>Logout_Click</vt:lpstr>
      <vt:lpstr>Evidence</vt:lpstr>
      <vt:lpstr>Clear_Click!BugCount</vt:lpstr>
      <vt:lpstr>Login_Click!BugCount</vt:lpstr>
      <vt:lpstr>Logout_Click!BugCount</vt:lpstr>
      <vt:lpstr>Page_load!BugCount</vt:lpstr>
      <vt:lpstr>BugCount</vt:lpstr>
      <vt:lpstr>Clear_Click!BugSheetName</vt:lpstr>
      <vt:lpstr>Login_Click!BugSheetName</vt:lpstr>
      <vt:lpstr>Logout_Click!BugSheetName</vt:lpstr>
      <vt:lpstr>Page_load!BugSheetName</vt:lpstr>
      <vt:lpstr>BugSheetName</vt:lpstr>
      <vt:lpstr>NewPCL</vt:lpstr>
      <vt:lpstr>NewPCL_Row</vt:lpstr>
      <vt:lpstr>Clear_Click!Print_Area</vt:lpstr>
      <vt:lpstr>Login_Click!Print_Area</vt:lpstr>
      <vt:lpstr>Logout_Click!Print_Area</vt:lpstr>
      <vt:lpstr>Page_load!Print_Area</vt:lpstr>
      <vt:lpstr>Summary!Print_Area</vt:lpstr>
      <vt:lpstr>Template!Print_Area</vt:lpstr>
      <vt:lpstr>Clear_Click!Print_Titles</vt:lpstr>
      <vt:lpstr>Login_Click!Print_Titles</vt:lpstr>
      <vt:lpstr>Logout_Click!Print_Titles</vt:lpstr>
      <vt:lpstr>Page_load!Print_Titles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Login_Click!TestResult</vt:lpstr>
      <vt:lpstr>Logout_Click!TestResult</vt:lpstr>
      <vt:lpstr>Page_load!TestResult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2019-09-14T11:01:40Z</dcterms:modified>
</cp:coreProperties>
</file>